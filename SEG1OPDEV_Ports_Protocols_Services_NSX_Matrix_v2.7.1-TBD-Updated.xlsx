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cd537a722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ndoff Summary" sheetId="1" r:id="R883c980f9076453b"/>
    <x:sheet xmlns:r="http://schemas.openxmlformats.org/officeDocument/2006/relationships" name="NSX Network Matrix" sheetId="2" r:id="R215f02885f884a65"/>
    <x:sheet xmlns:r="http://schemas.openxmlformats.org/officeDocument/2006/relationships" name="Address Objects" sheetId="3" r:id="R597ce1707caf435b"/>
    <x:sheet xmlns:r="http://schemas.openxmlformats.org/officeDocument/2006/relationships" name="Ingress &amp; VIP Map" sheetId="4" r:id="R71a5ed8524b14bb0"/>
    <x:sheet xmlns:r="http://schemas.openxmlformats.org/officeDocument/2006/relationships" name="Internal Flows" sheetId="5" r:id="R6542e0ba7a99459f"/>
    <x:sheet xmlns:r="http://schemas.openxmlformats.org/officeDocument/2006/relationships" name="Open Items" sheetId="6" r:id="R68bbde4ab0274053"/>
    <x:sheet xmlns:r="http://schemas.openxmlformats.org/officeDocument/2006/relationships" name="Sources" sheetId="7" r:id="R86ed1896f99f429d"/>
    <x:sheet xmlns:r="http://schemas.openxmlformats.org/officeDocument/2006/relationships" name="TBD Production Inputs" sheetId="8" r:id="R0caf5ac8f1ff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7F0000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4FB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80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1cf4ad0ee4dab" /><Relationship Type="http://schemas.openxmlformats.org/officeDocument/2006/relationships/theme" Target="/xl/theme/theme1.xml" Id="Rc58e492464794659" /><Relationship Type="http://schemas.openxmlformats.org/officeDocument/2006/relationships/sharedStrings" Target="/xl/sharedStrings.xml" Id="R39968a9dc81d456f" /><Relationship Type="http://schemas.openxmlformats.org/officeDocument/2006/relationships/worksheet" Target="/xl/worksheets/sheet1.xml" Id="R883c980f9076453b" /><Relationship Type="http://schemas.openxmlformats.org/officeDocument/2006/relationships/worksheet" Target="/xl/worksheets/sheet2.xml" Id="R215f02885f884a65" /><Relationship Type="http://schemas.openxmlformats.org/officeDocument/2006/relationships/worksheet" Target="/xl/worksheets/sheet3.xml" Id="R597ce1707caf435b" /><Relationship Type="http://schemas.openxmlformats.org/officeDocument/2006/relationships/worksheet" Target="/xl/worksheets/sheet4.xml" Id="R71a5ed8524b14bb0" /><Relationship Type="http://schemas.openxmlformats.org/officeDocument/2006/relationships/worksheet" Target="/xl/worksheets/sheet5.xml" Id="R6542e0ba7a99459f" /><Relationship Type="http://schemas.openxmlformats.org/officeDocument/2006/relationships/worksheet" Target="/xl/worksheets/sheet6.xml" Id="R68bbde4ab0274053" /><Relationship Type="http://schemas.openxmlformats.org/officeDocument/2006/relationships/worksheet" Target="/xl/worksheets/sheet7.xml" Id="R86ed1896f99f429d" /><Relationship Type="http://schemas.openxmlformats.org/officeDocument/2006/relationships/worksheet" Target="/xl/worksheets/sheet8.xml" Id="R0caf5ac8f1ff47ec" /></Relationships>
</file>

<file path=xl/tables/table1.xml><?xml version="1.0" encoding="utf-8"?>
<x:table xmlns:x="http://schemas.openxmlformats.org/spreadsheetml/2006/main" id="1" name="NSXMatrixTable" displayName="NSXMatrixTable" ref="A1:N39" headerRowCount="1" totalsRowCount="0" totalsRowShown="0">
  <x:tableColumns count="14">
    <x:tableColumn id="1" name="Rule ID"/>
    <x:tableColumn id="2" name="Category"/>
    <x:tableColumn id="3" name="Source Security Group / Object"/>
    <x:tableColumn id="4" name="Source Address / CIDR"/>
    <x:tableColumn id="5" name="Destination Security Group / Object"/>
    <x:tableColumn id="6" name="Destination Address / FQDN"/>
    <x:tableColumn id="7" name="Protocol"/>
    <x:tableColumn id="8" name="Destination Port(s)"/>
    <x:tableColumn id="9" name="Direction"/>
    <x:tableColumn id="10" name="Requirement"/>
    <x:tableColumn id="11" name="Action"/>
    <x:tableColumn id="12" name="Service / Purpose"/>
    <x:tableColumn id="13" name="NSX Implementation Notes"/>
    <x:tableColumn id="14" name="Evidence /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dressObjectsTable" displayName="AddressObjectsTable" ref="A1:G29" headerRowCount="1" totalsRowCount="0" totalsRowShown="0">
  <x:tableColumns count="7">
    <x:tableColumn id="1" name="Object Name"/>
    <x:tableColumn id="2" name="Type"/>
    <x:tableColumn id="3" name="Cluster / Site"/>
    <x:tableColumn id="4" name="Address / FQDN"/>
    <x:tableColumn id="5" name="Purpose"/>
    <x:tableColumn id="6" name="Production Status"/>
    <x:tableColumn id="7" name="Notes /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IPMapTable" displayName="VIPMapTable" ref="A1:H17" headerRowCount="1" totalsRowCount="0" totalsRowShown="0">
  <x:tableColumns count="8">
    <x:tableColumn id="1" name="Service / FQDN"/>
    <x:tableColumn id="2" name="Cluster"/>
    <x:tableColumn id="3" name="Destination VIP / Address"/>
    <x:tableColumn id="4" name="Protocol"/>
    <x:tableColumn id="5" name="Port(s)"/>
    <x:tableColumn id="6" name="Expected Source"/>
    <x:tableColumn id="7" name="Function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nalFlowsTable" displayName="InternalFlowsTable" ref="A1:J25" headerRowCount="1" totalsRowCount="0" totalsRowShown="0">
  <x:tableColumns count="10">
    <x:tableColumn id="1" name="Flow ID"/>
    <x:tableColumn id="2" name="Component"/>
    <x:tableColumn id="3" name="Source"/>
    <x:tableColumn id="4" name="Destination"/>
    <x:tableColumn id="5" name="Protocol"/>
    <x:tableColumn id="6" name="Port(s)"/>
    <x:tableColumn id="7" name="Requirement"/>
    <x:tableColumn id="8" name="NSX Relevance"/>
    <x:tableColumn id="9" name="Purpose / Notes"/>
    <x:tableColumn id="10" name="Package 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nItemsTable" displayName="OpenItemsTable" ref="A1:E15" headerRowCount="1" totalsRowCount="0" totalsRowShown="0">
  <x:tableColumns count="5">
    <x:tableColumn id="1" name="Priority"/>
    <x:tableColumn id="2" name="Open Item / Decision"/>
    <x:tableColumn id="3" name="Why It Matters to NSX Policy"/>
    <x:tableColumn id="4" name="Owner / Input Needed"/>
    <x:tableColumn id="5" name="Recommended Dispos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D18" headerRowCount="1" totalsRowCount="0" totalsRowShown="0">
  <x:tableColumns count="4">
    <x:tableColumn id="1" name="Source Type"/>
    <x:tableColumn id="2" name="Source / URL"/>
    <x:tableColumn id="3" name="Used For"/>
    <x:tableColumn id="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DProductionInputsTable" displayName="TBDProductionInputsTable" ref="A4:K48" headerRowCount="1" totalsRowCount="0" totalsRowShown="0">
  <x:tableColumns count="11">
    <x:tableColumn id="1" name="TBD ID"/>
    <x:tableColumn id="2" name="Priority"/>
    <x:tableColumn id="3" name="Area / NSX Object"/>
    <x:tableColumn id="4" name="Cluster / Site"/>
    <x:tableColumn id="5" name="Production Value Required"/>
    <x:tableColumn id="6" name="Package Value / Current Assumption"/>
    <x:tableColumn id="7" name="Confirmed Production Value"/>
    <x:tableColumn id="8" name="Owner / Input Needed"/>
    <x:tableColumn id="9" name="Blocks NSX Handoff?"/>
    <x:tableColumn id="10" name="Status"/>
    <x:tableColumn id="11" name="Validation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b201946f3b4c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4bc992000841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045b84a1204c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39465122a04f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7a7184e66a4d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411076770040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d104250bb5486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7" hidden="0" customWidth="1"/>
    <x:col min="5" max="5" width="22" hidden="0" customWidth="1"/>
    <x:col min="6" max="6" width="18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SEG1OPDEV Ports, Protocols &amp; Services – NSX Network Matrix</x:v>
      </x:c>
      <x:c r="B1" s="4"/>
      <x:c r="C1" s="4"/>
      <x:c r="D1" s="4"/>
      <x:c r="E1" s="4"/>
      <x:c r="F1" s="4"/>
      <x:c r="G1" s="4"/>
      <x:c r="H1" s="4"/>
    </x:row>
    <x:row r="2">
      <x:c r="A2" s="9" t="str">
        <x:v>Source package: k8mm-seg1opdev-multicluster-v2.7.1-validated-20260911.zip | Prepared for NSX policy engineering</x:v>
      </x:c>
      <x:c r="B2" s="9"/>
      <x:c r="C2" s="9"/>
      <x:c r="D2" s="9"/>
      <x:c r="E2" s="9"/>
      <x:c r="F2" s="9"/>
      <x:c r="G2" s="9"/>
      <x:c r="H2" s="9"/>
    </x:row>
    <x:row r="4" ht="34" customHeight="1">
      <x:c r="A4" s="15" t="str">
        <x:v>CRITICAL PRODUCTION NOTE: The package architecture states that listed IP addresses are examples and may not be the actual production deployment addresses. Validate all node IPs, API endpoints, VIPs, external service addresses, pod/service CIDRs, and trusted user source networks before enforcing NSX policy.</x:v>
      </x:c>
      <x:c r="B4" s="15"/>
      <x:c r="C4" s="15"/>
      <x:c r="D4" s="15"/>
      <x:c r="E4" s="15"/>
      <x:c r="F4" s="15"/>
      <x:c r="G4" s="15"/>
      <x:c r="H4" s="15"/>
    </x:row>
    <x:row r="5" ht="36" customHeight="1">
      <x:c r="A5" s="58" t="str">
        <x:v>HANDOFF GATE: Complete the 'TBD Production Inputs' sheet. All rows marked 'YES' under Blocks NSX Handoff? must have a confirmed production value or an approved N/A disposition before policy enforcement.</x:v>
      </x:c>
      <x:c r="B5" s="58"/>
      <x:c r="C5" s="58"/>
      <x:c r="D5" s="58"/>
      <x:c r="E5" s="58"/>
      <x:c r="F5" s="58"/>
      <x:c r="G5" s="58"/>
      <x:c r="H5" s="15"/>
    </x:row>
    <x:row r="7">
      <x:c r="A7" s="24" t="str">
        <x:v>Matrix KPI</x:v>
      </x:c>
      <x:c r="B7" s="24" t="str">
        <x:v>Count</x:v>
      </x:c>
      <x:c r="D7" s="30" t="str">
        <x:v>Recommended NSX Object Model</x:v>
      </x:c>
      <x:c r="E7" s="30"/>
      <x:c r="F7" s="30"/>
      <x:c r="G7" s="30"/>
      <x:c r="H7" s="30"/>
    </x:row>
    <x:row r="8" ht="15" hidden="0" customHeight="1">
      <x:c r="A8" t="str">
        <x:v>Total NSX rules</x:v>
      </x:c>
      <x:c r="B8" t="n">
        <x:f>COUNTA('NSX Network Matrix'!A2:A200)</x:f>
        <x:v>38</x:v>
      </x:c>
      <x:c r="D8" s="33" t="str">
        <x:v>1</x:v>
      </x:c>
      <x:c r="E8" s="33" t="str">
        <x:v>Create one node/security group per cluster.</x:v>
      </x:c>
      <x:c r="F8" s="33" t="str"/>
      <x:c r="G8" s="33" t="str">
        <x:v>J64SEGMAN, J64SEGDEV, J52SEGDEV, R01SEGDEV</x:v>
      </x:c>
      <x:c r="H8" s="33" t="str"/>
    </x:row>
    <x:row r="9" ht="15" hidden="0" customHeight="1">
      <x:c r="A9" t="str">
        <x:v>Required</x:v>
      </x:c>
      <x:c r="B9" t="n">
        <x:f>COUNTIF('NSX Network Matrix'!J2:J200,"Required")</x:f>
        <x:v>29</x:v>
      </x:c>
      <x:c r="D9" s="33" t="str">
        <x:v>2</x:v>
      </x:c>
      <x:c r="E9" s="33" t="str">
        <x:v>Create discrete VIP groups.</x:v>
      </x:c>
      <x:c r="F9" s="33" t="str"/>
      <x:c r="G9" s="33" t="str">
        <x:v>Ingress, east-west gateway, PostgreSQL replication</x:v>
      </x:c>
      <x:c r="H9" s="33" t="str"/>
    </x:row>
    <x:row r="10" ht="15" hidden="0" customHeight="1">
      <x:c r="A10" t="str">
        <x:v>Conditional</x:v>
      </x:c>
      <x:c r="B10" t="n">
        <x:f>COUNTIF('NSX Network Matrix'!J2:J200,"Conditional")</x:f>
        <x:v>7</x:v>
      </x:c>
      <x:c r="D10" s="33" t="str">
        <x:v>3</x:v>
      </x:c>
      <x:c r="E10" s="33" t="str">
        <x:v>Create shared infrastructure groups.</x:v>
      </x:c>
      <x:c r="F10" s="33" t="str"/>
      <x:c r="G10" s="33" t="str">
        <x:v>DNS, NTP, Harbor, GitLab, Elastic Fleet</x:v>
      </x:c>
      <x:c r="H10" s="33" t="str"/>
    </x:row>
    <x:row r="11" ht="15" hidden="0" customHeight="1">
      <x:c r="A11" t="str">
        <x:v>Validate</x:v>
      </x:c>
      <x:c r="B11" t="n">
        <x:f>COUNTIF('NSX Network Matrix'!J2:J200,"Validate")</x:f>
        <x:v>2</x:v>
      </x:c>
      <x:c r="D11" s="33" t="str">
        <x:v>4</x:v>
      </x:c>
      <x:c r="E11" s="33" t="str">
        <x:v>Create tightly scoped admin/user groups.</x:v>
      </x:c>
      <x:c r="F11" s="33" t="str"/>
      <x:c r="G11" s="33" t="str">
        <x:v>Deployment controller, jump hosts, trusted users</x:v>
      </x:c>
      <x:c r="H11" s="33" t="str"/>
    </x:row>
    <x:row r="12" ht="15" hidden="0" customHeight="1">
      <x:c r="D12" s="33" t="str">
        <x:v>5</x:v>
      </x:c>
      <x:c r="E12" s="33" t="str">
        <x:v>Use stateful ALLOW rules then default-deny.</x:v>
      </x:c>
      <x:c r="F12" s="33" t="str"/>
      <x:c r="G12" s="33" t="str">
        <x:v>Avoid a blanket Segment1-to-Segment1 allow rule.</x:v>
      </x:c>
      <x:c r="H12" s="33" t="str"/>
    </x:row>
    <x:row r="13" ht="15" hidden="0" customHeight="1">
      <x:c r="D13" s="33" t="str">
        <x:v>6</x:v>
      </x:c>
      <x:c r="E13" s="33" t="str">
        <x:v>Treat Internal Flows as conditional at NSX layer.</x:v>
      </x:c>
      <x:c r="F13" s="33" t="str"/>
      <x:c r="G13" s="33" t="str">
        <x:v>Apply only if DFW/routing sees pod/service traffic.</x:v>
      </x:c>
      <x:c r="H13" s="33" t="str"/>
    </x:row>
    <x:row r="15">
      <x:c r="A15" s="30" t="str">
        <x:v>Traffic Domains Covered</x:v>
      </x:c>
      <x:c r="B15" s="30"/>
      <x:c r="C15" s="30"/>
      <x:c r="D15" s="30"/>
      <x:c r="E15" s="30"/>
      <x:c r="F15" s="30"/>
      <x:c r="G15" s="30"/>
      <x:c r="H15" s="30"/>
    </x:row>
    <x:row r="16" ht="15" hidden="0" customHeight="1">
      <x:c r="A16" s="24" t="str">
        <x:v>Domain</x:v>
      </x:c>
      <x:c r="B16" s="24" t="str"/>
      <x:c r="C16" s="24" t="str">
        <x:v>What the matrix covers</x:v>
      </x:c>
      <x:c r="D16" s="24" t="str"/>
      <x:c r="E16" s="24" t="str"/>
      <x:c r="F16" s="24" t="str">
        <x:v>Primary examples</x:v>
      </x:c>
      <x:c r="G16" s="24" t="str"/>
      <x:c r="H16" s="24" t="str"/>
    </x:row>
    <x:row r="17" ht="15" hidden="0" customHeight="1">
      <x:c r="A17" s="33" t="str">
        <x:v>Intra-cluster</x:v>
      </x:c>
      <x:c r="B17" s="33" t="str"/>
      <x:c r="C17" s="33" t="str">
        <x:v>RKE2 control plane, etcd, kubelet, CNI, MetalLB</x:v>
      </x:c>
      <x:c r="D17" s="33" t="str"/>
      <x:c r="E17" s="33" t="str"/>
      <x:c r="F17" s="33" t="str">
        <x:v>9345, 6443, 10250, 2379/2380, 8472, 7946</x:v>
      </x:c>
      <x:c r="G17" s="33" t="str"/>
      <x:c r="H17" s="33" t="str"/>
    </x:row>
    <x:row r="18" ht="15" hidden="0" customHeight="1">
      <x:c r="A18" s="33" t="str">
        <x:v>Cross-cluster</x:v>
      </x:c>
      <x:c r="B18" s="33" t="str"/>
      <x:c r="C18" s="33" t="str">
        <x:v>Istio multi-cluster + identity database DR</x:v>
      </x:c>
      <x:c r="D18" s="33" t="str"/>
      <x:c r="E18" s="33" t="str"/>
      <x:c r="F18" s="33" t="str">
        <x:v>15443/15012/15017 and PostgreSQL 5432</x:v>
      </x:c>
      <x:c r="G18" s="33" t="str"/>
      <x:c r="H18" s="33" t="str"/>
    </x:row>
    <x:row r="19" ht="15" hidden="0" customHeight="1">
      <x:c r="A19" s="33" t="str">
        <x:v>Shared infrastructure</x:v>
      </x:c>
      <x:c r="B19" s="33" t="str"/>
      <x:c r="C19" s="33" t="str">
        <x:v>DNS, NTP, Harbor, GitLab, Rancher, Elastic, observability</x:v>
      </x:c>
      <x:c r="D19" s="33" t="str"/>
      <x:c r="E19" s="33" t="str"/>
      <x:c r="F19" s="33" t="str">
        <x:v>53, 123, 443, 8220</x:v>
      </x:c>
      <x:c r="G19" s="33" t="str"/>
      <x:c r="H19" s="33" t="str"/>
    </x:row>
    <x:row r="20" ht="15" hidden="0" customHeight="1">
      <x:c r="A20" s="33" t="str">
        <x:v>North-south</x:v>
      </x:c>
      <x:c r="B20" s="33" t="str"/>
      <x:c r="C20" s="33" t="str">
        <x:v>User/admin access to ingress VIPs and identity</x:v>
      </x:c>
      <x:c r="D20" s="33" t="str"/>
      <x:c r="E20" s="33" t="str"/>
      <x:c r="F20" s="33" t="str">
        <x:v>HTTPS 443; HTTP 80 only where explicitly needed</x:v>
      </x:c>
      <x:c r="G20" s="33" t="str"/>
      <x:c r="H20" s="33" t="str"/>
    </x:row>
    <x:row r="22">
      <x:c r="A22" s="30" t="str">
        <x:v>Key design decisions carried into the matrix</x:v>
      </x:c>
      <x:c r="B22" s="30"/>
      <x:c r="C22" s="30"/>
      <x:c r="D22" s="30"/>
      <x:c r="E22" s="30"/>
      <x:c r="F22" s="30"/>
      <x:c r="G22" s="30"/>
      <x:c r="H22" s="30"/>
    </x:row>
    <x:row r="23" ht="15" hidden="0" customHeight="1">
      <x:c r="A23" s="33" t="str">
        <x:v>• MetalLB is Layer 2; permit ARP/GARP behavior. Do not add BGP TCP/179 unless the design changes.</x:v>
      </x:c>
      <x:c r="B23" s="33" t="str"/>
      <x:c r="C23" s="33" t="str"/>
      <x:c r="D23" s="33" t="str"/>
      <x:c r="E23" s="33" t="str"/>
      <x:c r="F23" s="33" t="str"/>
      <x:c r="G23" s="33" t="str"/>
      <x:c r="H23" s="33" t="str"/>
    </x:row>
    <x:row r="24" ht="15" hidden="0" customHeight="1">
      <x:c r="A24" s="33" t="str">
        <x:v>• Canonical Keycloak DNS can fail over between J64 ingress 1.0.0.215 and J52 ingress 1.0.0.225; both must remain reachable by approved clients.</x:v>
      </x:c>
      <x:c r="B24" s="33" t="str"/>
      <x:c r="C24" s="33" t="str"/>
      <x:c r="D24" s="33" t="str"/>
      <x:c r="E24" s="33" t="str"/>
      <x:c r="F24" s="33" t="str"/>
      <x:c r="G24" s="33" t="str"/>
      <x:c r="H24" s="33" t="str"/>
    </x:row>
    <x:row r="25" ht="15" hidden="0" customHeight="1">
      <x:c r="A25" s="33" t="str">
        <x:v>• PostgreSQL replication TCP/5432 is required in both J64→J52 and J52→J64 directions to support failover/failback.</x:v>
      </x:c>
      <x:c r="B25" s="33" t="str"/>
      <x:c r="C25" s="33" t="str"/>
      <x:c r="D25" s="33" t="str"/>
      <x:c r="E25" s="33" t="str"/>
      <x:c r="F25" s="33" t="str"/>
      <x:c r="G25" s="33" t="str"/>
      <x:c r="H25" s="33" t="str"/>
    </x:row>
    <x:row r="26" ht="15" hidden="0" customHeight="1">
      <x:c r="A26" s="33" t="str">
        <x:v>• GitLab Runner is management-cluster-only and uses gitlab001.dev.local over HTTPS.</x:v>
      </x:c>
      <x:c r="B26" s="33" t="str"/>
      <x:c r="C26" s="33" t="str"/>
      <x:c r="D26" s="33" t="str"/>
      <x:c r="E26" s="33" t="str"/>
      <x:c r="F26" s="33" t="str"/>
      <x:c r="G26" s="33" t="str"/>
      <x:c r="H26" s="33" t="str"/>
    </x:row>
    <x:row r="27" ht="15" hidden="0" customHeight="1">
      <x:c r="A27" s="33" t="str">
        <x:v>• Do not invent external LDAP/Kerberos/PKI rules; those endpoints are not defined in the package and are tracked on Open Items.</x:v>
      </x:c>
      <x:c r="B27" s="33" t="str"/>
      <x:c r="C27" s="33" t="str"/>
      <x:c r="D27" s="33" t="str"/>
      <x:c r="E27" s="33" t="str"/>
      <x:c r="F27" s="33" t="str"/>
      <x:c r="G27" s="33" t="str"/>
      <x:c r="H27" s="33" t="str"/>
    </x:row>
  </x:sheetData>
  <x:mergeCells>
    <x:mergeCell ref="A1:H1"/>
    <x:mergeCell ref="A2:H2"/>
    <x:mergeCell ref="A4:H5"/>
    <x:mergeCell ref="D7:H7"/>
    <x:mergeCell ref="A15:H15"/>
    <x:mergeCell ref="A22:H22"/>
    <x:mergeCell ref="E8:F8"/>
    <x:mergeCell ref="G8:H8"/>
    <x:mergeCell ref="E9:F9"/>
    <x:mergeCell ref="G9:H9"/>
    <x:mergeCell ref="E10:F10"/>
    <x:mergeCell ref="G10:H10"/>
    <x:mergeCell ref="E11:F11"/>
    <x:mergeCell ref="G11:H11"/>
    <x:mergeCell ref="E12:F12"/>
    <x:mergeCell ref="G12:H12"/>
    <x:mergeCell ref="E13:F13"/>
    <x:mergeCell ref="G13:H13"/>
    <x:mergeCell ref="A16:B16"/>
    <x:mergeCell ref="C16:E16"/>
    <x:mergeCell ref="F16:H16"/>
    <x:mergeCell ref="A17:B17"/>
    <x:mergeCell ref="C17:E17"/>
    <x:mergeCell ref="F17:H17"/>
    <x:mergeCell ref="A18:B18"/>
    <x:mergeCell ref="C18:E18"/>
    <x:mergeCell ref="F18:H18"/>
    <x:mergeCell ref="A19:B19"/>
    <x:mergeCell ref="C19:E19"/>
    <x:mergeCell ref="F19:H19"/>
    <x:mergeCell ref="A20:B20"/>
    <x:mergeCell ref="C20:E20"/>
    <x:mergeCell ref="F20:H20"/>
    <x:mergeCell ref="A23:H23"/>
    <x:mergeCell ref="A24:H24"/>
    <x:mergeCell ref="A25:H25"/>
    <x:mergeCell ref="A26:H26"/>
    <x:mergeCell ref="A27:H27"/>
    <x:mergeCell ref="A5:G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8" hidden="0" customWidth="1"/>
    <x:col min="4" max="4" width="26" hidden="0" customWidth="1"/>
    <x:col min="5" max="5" width="30" hidden="0" customWidth="1"/>
    <x:col min="6" max="6" width="38" hidden="0" customWidth="1"/>
    <x:col min="7" max="7" width="11" hidden="0" customWidth="1"/>
    <x:col min="8" max="8" width="18" hidden="0" customWidth="1"/>
    <x:col min="9" max="9" width="20" hidden="0" customWidth="1"/>
    <x:col min="10" max="10" width="13" hidden="0" customWidth="1"/>
    <x:col min="11" max="11" width="10" hidden="0" customWidth="1"/>
    <x:col min="12" max="12" width="34" hidden="0" customWidth="1"/>
    <x:col min="13" max="13" width="48" hidden="0" customWidth="1"/>
    <x:col min="14" max="14" width="42" hidden="0" customWidth="1"/>
  </x:cols>
  <x:sheetData>
    <x:row r="1" ht="34" customHeight="1">
      <x:c r="A1" s="38" t="str">
        <x:v>Rule ID</x:v>
      </x:c>
      <x:c r="B1" s="38" t="str">
        <x:v>Category</x:v>
      </x:c>
      <x:c r="C1" s="38" t="str">
        <x:v>Source Security Group / Object</x:v>
      </x:c>
      <x:c r="D1" s="38" t="str">
        <x:v>Source Address / CIDR</x:v>
      </x:c>
      <x:c r="E1" s="38" t="str">
        <x:v>Destination Security Group / Object</x:v>
      </x:c>
      <x:c r="F1" s="38" t="str">
        <x:v>Destination Address / FQDN</x:v>
      </x:c>
      <x:c r="G1" s="38" t="str">
        <x:v>Protocol</x:v>
      </x:c>
      <x:c r="H1" s="38" t="str">
        <x:v>Destination Port(s)</x:v>
      </x:c>
      <x:c r="I1" s="38" t="str">
        <x:v>Direction</x:v>
      </x:c>
      <x:c r="J1" s="38" t="str">
        <x:v>Requirement</x:v>
      </x:c>
      <x:c r="K1" s="38" t="str">
        <x:v>Action</x:v>
      </x:c>
      <x:c r="L1" s="38" t="str">
        <x:v>Service / Purpose</x:v>
      </x:c>
      <x:c r="M1" s="38" t="str">
        <x:v>NSX Implementation Notes</x:v>
      </x:c>
      <x:c r="N1" s="38" t="str">
        <x:v>Evidence / Source</x:v>
      </x:c>
    </x:row>
    <x:row r="2">
      <x:c r="A2" s="33" t="str">
        <x:v>RKE2-01</x:v>
      </x:c>
      <x:c r="B2" s="33" t="str">
        <x:v>RKE2 Control Plane</x:v>
      </x:c>
      <x:c r="C2" s="33" t="str">
        <x:v>&lt;cluster&gt;-ALL-NODES</x:v>
      </x:c>
      <x:c r="D2" s="33" t="str">
        <x:v>Production node IPs: TBD</x:v>
      </x:c>
      <x:c r="E2" s="33" t="str">
        <x:v>&lt;cluster&gt;-SERVER-NODES</x:v>
      </x:c>
      <x:c r="F2" s="33" t="str">
        <x:v>Production server/control-plane IPs: TBD</x:v>
      </x:c>
      <x:c r="G2" s="33" t="str">
        <x:v>TCP</x:v>
      </x:c>
      <x:c r="H2" s="33" t="str">
        <x:v>9345</x:v>
      </x:c>
      <x:c r="I2" s="33" t="str">
        <x:v>Node → Server</x:v>
      </x:c>
      <x:c r="J2" s="33" t="str">
        <x:v>Required</x:v>
      </x:c>
      <x:c r="K2" s="33" t="str">
        <x:v>ALLOW</x:v>
      </x:c>
      <x:c r="L2" s="33" t="str">
        <x:v>RKE2 supervisor / node registration</x:v>
      </x:c>
      <x:c r="M2" s="33" t="str">
        <x:v>Create per-cluster groups; do not permit across unrelated clusters unless operationally required.</x:v>
      </x:c>
      <x:c r="N2" s="33" t="str">
        <x:v>Official RKE2 requirements; production node inventory not included in package</x:v>
      </x:c>
    </x:row>
    <x:row r="3">
      <x:c r="A3" s="33" t="str">
        <x:v>RKE2-02</x:v>
      </x:c>
      <x:c r="B3" s="33" t="str">
        <x:v>RKE2 Control Plane</x:v>
      </x:c>
      <x:c r="C3" s="33" t="str">
        <x:v>&lt;cluster&gt;-ALL-NODES</x:v>
      </x:c>
      <x:c r="D3" s="33" t="str">
        <x:v>Production node IPs: TBD</x:v>
      </x:c>
      <x:c r="E3" s="33" t="str">
        <x:v>&lt;cluster&gt;-SERVER-NODES</x:v>
      </x:c>
      <x:c r="F3" s="33" t="str">
        <x:v>Production server/control-plane IPs: TBD</x:v>
      </x:c>
      <x:c r="G3" s="33" t="str">
        <x:v>TCP</x:v>
      </x:c>
      <x:c r="H3" s="33" t="str">
        <x:v>6443</x:v>
      </x:c>
      <x:c r="I3" s="33" t="str">
        <x:v>Node/Admin → API</x:v>
      </x:c>
      <x:c r="J3" s="33" t="str">
        <x:v>Required</x:v>
      </x:c>
      <x:c r="K3" s="33" t="str">
        <x:v>ALLOW</x:v>
      </x:c>
      <x:c r="L3" s="33" t="str">
        <x:v>Kubernetes API server</x:v>
      </x:c>
      <x:c r="M3" s="33" t="str">
        <x:v>Required for node/API communication and kubectl administration. J64/J52 control-plane IP examples are known; management/R01 API endpoints remain TBD.</x:v>
      </x:c>
      <x:c r="N3" s="33" t="str">
        <x:v>Official RKE2 requirements; fleet/bundles/51-postgresql-* network policies</x:v>
      </x:c>
    </x:row>
    <x:row r="4">
      <x:c r="A4" s="33" t="str">
        <x:v>RKE2-03</x:v>
      </x:c>
      <x:c r="B4" s="33" t="str">
        <x:v>RKE2 Node Services</x:v>
      </x:c>
      <x:c r="C4" s="33" t="str">
        <x:v>&lt;cluster&gt;-ALL-NODES</x:v>
      </x:c>
      <x:c r="D4" s="33" t="str">
        <x:v>Production node IPs: TBD</x:v>
      </x:c>
      <x:c r="E4" s="33" t="str">
        <x:v>&lt;cluster&gt;-ALL-NODES</x:v>
      </x:c>
      <x:c r="F4" s="33" t="str">
        <x:v>Production node IPs: TBD</x:v>
      </x:c>
      <x:c r="G4" s="33" t="str">
        <x:v>TCP</x:v>
      </x:c>
      <x:c r="H4" s="33" t="str">
        <x:v>10250</x:v>
      </x:c>
      <x:c r="I4" s="33" t="str">
        <x:v>Node ↔ Node</x:v>
      </x:c>
      <x:c r="J4" s="33" t="str">
        <x:v>Required</x:v>
      </x:c>
      <x:c r="K4" s="33" t="str">
        <x:v>ALLOW</x:v>
      </x:c>
      <x:c r="L4" s="33" t="str">
        <x:v>Kubelet API / metrics</x:v>
      </x:c>
      <x:c r="M4" s="33" t="str">
        <x:v>Restrict to same cluster unless centralized tooling explicitly needs cross-cluster access.</x:v>
      </x:c>
      <x:c r="N4" s="33" t="str">
        <x:v>Official RKE2 requirements</x:v>
      </x:c>
    </x:row>
    <x:row r="5">
      <x:c r="A5" s="33" t="str">
        <x:v>RKE2-04</x:v>
      </x:c>
      <x:c r="B5" s="33" t="str">
        <x:v>RKE2 etcd</x:v>
      </x:c>
      <x:c r="C5" s="33" t="str">
        <x:v>&lt;cluster&gt;-SERVER-NODES</x:v>
      </x:c>
      <x:c r="D5" s="33" t="str">
        <x:v>Production server IPs: TBD</x:v>
      </x:c>
      <x:c r="E5" s="33" t="str">
        <x:v>&lt;cluster&gt;-SERVER-NODES</x:v>
      </x:c>
      <x:c r="F5" s="33" t="str">
        <x:v>Production server IPs: TBD</x:v>
      </x:c>
      <x:c r="G5" s="33" t="str">
        <x:v>TCP</x:v>
      </x:c>
      <x:c r="H5" s="33" t="str">
        <x:v>2379</x:v>
      </x:c>
      <x:c r="I5" s="33" t="str">
        <x:v>Server ↔ Server</x:v>
      </x:c>
      <x:c r="J5" s="33" t="str">
        <x:v>Required</x:v>
      </x:c>
      <x:c r="K5" s="33" t="str">
        <x:v>ALLOW</x:v>
      </x:c>
      <x:c r="L5" s="33" t="str">
        <x:v>etcd client traffic</x:v>
      </x:c>
      <x:c r="M5" s="33" t="str">
        <x:v>Server/control-plane nodes only; per cluster.</x:v>
      </x:c>
      <x:c r="N5" s="33" t="str">
        <x:v>Official RKE2 requirements</x:v>
      </x:c>
    </x:row>
    <x:row r="6">
      <x:c r="A6" s="33" t="str">
        <x:v>RKE2-05</x:v>
      </x:c>
      <x:c r="B6" s="33" t="str">
        <x:v>RKE2 etcd</x:v>
      </x:c>
      <x:c r="C6" s="33" t="str">
        <x:v>&lt;cluster&gt;-SERVER-NODES</x:v>
      </x:c>
      <x:c r="D6" s="33" t="str">
        <x:v>Production server IPs: TBD</x:v>
      </x:c>
      <x:c r="E6" s="33" t="str">
        <x:v>&lt;cluster&gt;-SERVER-NODES</x:v>
      </x:c>
      <x:c r="F6" s="33" t="str">
        <x:v>Production server IPs: TBD</x:v>
      </x:c>
      <x:c r="G6" s="33" t="str">
        <x:v>TCP</x:v>
      </x:c>
      <x:c r="H6" s="33" t="str">
        <x:v>2380</x:v>
      </x:c>
      <x:c r="I6" s="33" t="str">
        <x:v>Server ↔ Server</x:v>
      </x:c>
      <x:c r="J6" s="33" t="str">
        <x:v>Required</x:v>
      </x:c>
      <x:c r="K6" s="33" t="str">
        <x:v>ALLOW</x:v>
      </x:c>
      <x:c r="L6" s="33" t="str">
        <x:v>etcd peer replication</x:v>
      </x:c>
      <x:c r="M6" s="33" t="str">
        <x:v>Server/control-plane nodes only; per cluster.</x:v>
      </x:c>
      <x:c r="N6" s="33" t="str">
        <x:v>Official RKE2 requirements</x:v>
      </x:c>
    </x:row>
    <x:row r="7">
      <x:c r="A7" s="33" t="str">
        <x:v>RKE2-06</x:v>
      </x:c>
      <x:c r="B7" s="33" t="str">
        <x:v>RKE2 etcd</x:v>
      </x:c>
      <x:c r="C7" s="33" t="str">
        <x:v>&lt;cluster&gt;-SERVER-NODES</x:v>
      </x:c>
      <x:c r="D7" s="33" t="str">
        <x:v>Production server IPs: TBD</x:v>
      </x:c>
      <x:c r="E7" s="33" t="str">
        <x:v>&lt;cluster&gt;-SERVER-NODES</x:v>
      </x:c>
      <x:c r="F7" s="33" t="str">
        <x:v>Production server IPs: TBD</x:v>
      </x:c>
      <x:c r="G7" s="33" t="str">
        <x:v>TCP</x:v>
      </x:c>
      <x:c r="H7" s="33" t="str">
        <x:v>2381</x:v>
      </x:c>
      <x:c r="I7" s="33" t="str">
        <x:v>Server ↔ Server</x:v>
      </x:c>
      <x:c r="J7" s="33" t="str">
        <x:v>Conditional</x:v>
      </x:c>
      <x:c r="K7" s="33" t="str">
        <x:v>ALLOW</x:v>
      </x:c>
      <x:c r="L7" s="33" t="str">
        <x:v>etcd metrics</x:v>
      </x:c>
      <x:c r="M7" s="33" t="str">
        <x:v>Allow only if etcd metrics are collected across the NSX enforcement boundary.</x:v>
      </x:c>
      <x:c r="N7" s="33" t="str">
        <x:v>Official RKE2 requirements</x:v>
      </x:c>
    </x:row>
    <x:row r="8">
      <x:c r="A8" s="33" t="str">
        <x:v>RKE2-07</x:v>
      </x:c>
      <x:c r="B8" s="33" t="str">
        <x:v>CNI / Canal</x:v>
      </x:c>
      <x:c r="C8" s="33" t="str">
        <x:v>&lt;cluster&gt;-ALL-NODES</x:v>
      </x:c>
      <x:c r="D8" s="33" t="str">
        <x:v>Production node IPs: TBD</x:v>
      </x:c>
      <x:c r="E8" s="33" t="str">
        <x:v>&lt;cluster&gt;-ALL-NODES</x:v>
      </x:c>
      <x:c r="F8" s="33" t="str">
        <x:v>Production node IPs: TBD</x:v>
      </x:c>
      <x:c r="G8" s="33" t="str">
        <x:v>UDP</x:v>
      </x:c>
      <x:c r="H8" s="33" t="str">
        <x:v>8472</x:v>
      </x:c>
      <x:c r="I8" s="33" t="str">
        <x:v>Node ↔ Node</x:v>
      </x:c>
      <x:c r="J8" s="33" t="str">
        <x:v>Validate</x:v>
      </x:c>
      <x:c r="K8" s="33" t="str">
        <x:v>ALLOW</x:v>
      </x:c>
      <x:c r="L8" s="33" t="str">
        <x:v>Canal/Flannel VXLAN overlay</x:v>
      </x:c>
      <x:c r="M8" s="33" t="str">
        <x:v>RKE2 defaults to Canal, but the package does not contain the authoritative host CNI config. Confirm before policy activation.</x:v>
      </x:c>
      <x:c r="N8" s="33" t="str">
        <x:v>Official RKE2 requirements; package references Calico NetworkPolicy</x:v>
      </x:c>
    </x:row>
    <x:row r="9">
      <x:c r="A9" s="33" t="str">
        <x:v>RKE2-08</x:v>
      </x:c>
      <x:c r="B9" s="33" t="str">
        <x:v>CNI / Canal</x:v>
      </x:c>
      <x:c r="C9" s="33" t="str">
        <x:v>&lt;cluster&gt;-ALL-NODES</x:v>
      </x:c>
      <x:c r="D9" s="33" t="str">
        <x:v>Production node IPs: TBD</x:v>
      </x:c>
      <x:c r="E9" s="33" t="str">
        <x:v>&lt;cluster&gt;-ALL-NODES</x:v>
      </x:c>
      <x:c r="F9" s="33" t="str">
        <x:v>Production node IPs: TBD</x:v>
      </x:c>
      <x:c r="G9" s="33" t="str">
        <x:v>TCP</x:v>
      </x:c>
      <x:c r="H9" s="33" t="str">
        <x:v>9099</x:v>
      </x:c>
      <x:c r="I9" s="33" t="str">
        <x:v>Node ↔ Node</x:v>
      </x:c>
      <x:c r="J9" s="33" t="str">
        <x:v>Validate</x:v>
      </x:c>
      <x:c r="K9" s="33" t="str">
        <x:v>ALLOW</x:v>
      </x:c>
      <x:c r="L9" s="33" t="str">
        <x:v>Canal/Flannel health</x:v>
      </x:c>
      <x:c r="M9" s="33" t="str">
        <x:v>Apply with RKE2-07 only after confirming Canal.</x:v>
      </x:c>
      <x:c r="N9" s="33" t="str">
        <x:v>Official RKE2 requirements</x:v>
      </x:c>
    </x:row>
    <x:row r="10">
      <x:c r="A10" s="33" t="str">
        <x:v>RKE2-09</x:v>
      </x:c>
      <x:c r="B10" s="33" t="str">
        <x:v>Kubernetes NodePort</x:v>
      </x:c>
      <x:c r="C10" s="33" t="str">
        <x:v>Approved clients / nodes</x:v>
      </x:c>
      <x:c r="D10" s="33" t="str">
        <x:v>TBD</x:v>
      </x:c>
      <x:c r="E10" s="33" t="str">
        <x:v>&lt;cluster&gt;-ALL-NODES</x:v>
      </x:c>
      <x:c r="F10" s="33" t="str">
        <x:v>Production node IPs: TBD</x:v>
      </x:c>
      <x:c r="G10" s="33" t="str">
        <x:v>TCP/UDP</x:v>
      </x:c>
      <x:c r="H10" s="33" t="str">
        <x:v>30000-32767</x:v>
      </x:c>
      <x:c r="I10" s="33" t="str">
        <x:v>Client/Node → Node</x:v>
      </x:c>
      <x:c r="J10" s="33" t="str">
        <x:v>Conditional</x:v>
      </x:c>
      <x:c r="K10" s="33" t="str">
        <x:v>ALLOW</x:v>
      </x:c>
      <x:c r="L10" s="33" t="str">
        <x:v>Kubernetes NodePort services</x:v>
      </x:c>
      <x:c r="M10" s="33" t="str">
        <x:v>Package primarily uses LoadBalancer/Ingress. Do not open full NodePort range unless workloads actually require it.</x:v>
      </x:c>
      <x:c r="N10" s="33" t="str">
        <x:v>Official RKE2 requirements</x:v>
      </x:c>
    </x:row>
    <x:row r="11">
      <x:c r="A11" s="33" t="str">
        <x:v>METALLB-01</x:v>
      </x:c>
      <x:c r="B11" s="33" t="str">
        <x:v>MetalLB L2</x:v>
      </x:c>
      <x:c r="C11" s="33" t="str">
        <x:v>&lt;cluster&gt;-ALL-NODES</x:v>
      </x:c>
      <x:c r="D11" s="33" t="str">
        <x:v>Production node IPs: TBD</x:v>
      </x:c>
      <x:c r="E11" s="33" t="str">
        <x:v>&lt;cluster&gt;-ALL-NODES</x:v>
      </x:c>
      <x:c r="F11" s="33" t="str">
        <x:v>Production node IPs: TBD</x:v>
      </x:c>
      <x:c r="G11" s="33" t="str">
        <x:v>TCP/UDP</x:v>
      </x:c>
      <x:c r="H11" s="33" t="str">
        <x:v>7946</x:v>
      </x:c>
      <x:c r="I11" s="33" t="str">
        <x:v>Node ↔ Node</x:v>
      </x:c>
      <x:c r="J11" s="33" t="str">
        <x:v>Required</x:v>
      </x:c>
      <x:c r="K11" s="33" t="str">
        <x:v>ALLOW</x:v>
      </x:c>
      <x:c r="L11" s="33" t="str">
        <x:v>MetalLB speaker memberlist</x:v>
      </x:c>
      <x:c r="M11" s="33" t="str">
        <x:v>Same-cluster node group. Required for MetalLB memberlist communication.</x:v>
      </x:c>
      <x:c r="N11" s="33" t="str">
        <x:v>Official MetalLB requirements; package uses MetalLB v0.15.2</x:v>
      </x:c>
    </x:row>
    <x:row r="12">
      <x:c r="A12" s="33" t="str">
        <x:v>METALLB-02</x:v>
      </x:c>
      <x:c r="B12" s="33" t="str">
        <x:v>MetalLB L2</x:v>
      </x:c>
      <x:c r="C12" s="33" t="str">
        <x:v>SEGMENT1-L2</x:v>
      </x:c>
      <x:c r="D12" s="33" t="str">
        <x:v>1.0.0.0/23</x:v>
      </x:c>
      <x:c r="E12" s="33" t="str">
        <x:v>MetalLB VIP pools</x:v>
      </x:c>
      <x:c r="F12" s="33" t="str">
        <x:v>1.0.0.201-1.0.0.240 (cluster-specific pools)</x:v>
      </x:c>
      <x:c r="G12" s="33" t="str">
        <x:v>ARP</x:v>
      </x:c>
      <x:c r="H12" s="33" t="str">
        <x:v>N/A</x:v>
      </x:c>
      <x:c r="I12" s="33" t="str">
        <x:v>L2 bidirectional</x:v>
      </x:c>
      <x:c r="J12" s="33" t="str">
        <x:v>Required</x:v>
      </x:c>
      <x:c r="K12" s="33" t="str">
        <x:v>ALLOW</x:v>
      </x:c>
      <x:c r="L12" s="33" t="str">
        <x:v>VIP ownership / gratuitous ARP</x:v>
      </x:c>
      <x:c r="M12" s="33" t="str">
        <x:v>Package uses Layer2Advertisement. NSX/vSwitch must permit ARP/GARP for VIP movement. No BGP TCP/179 rule is required by this package.</x:v>
      </x:c>
      <x:c r="N12" s="33" t="str">
        <x:v>fleet/bundles/*metallb*; official MetalLB Layer2 docs</x:v>
      </x:c>
    </x:row>
    <x:row r="13">
      <x:c r="A13" s="33" t="str">
        <x:v>ADMIN-01</x:v>
      </x:c>
      <x:c r="B13" s="33" t="str">
        <x:v>Administration</x:v>
      </x:c>
      <x:c r="C13" s="33" t="str">
        <x:v>DEPLOYMENT-CONTROLLER</x:v>
      </x:c>
      <x:c r="D13" s="33" t="str">
        <x:v>Source IP/group: TBD</x:v>
      </x:c>
      <x:c r="E13" s="33" t="str">
        <x:v>SEG1-ALL-NODES</x:v>
      </x:c>
      <x:c r="F13" s="33" t="str">
        <x:v>Production node IPs: TBD</x:v>
      </x:c>
      <x:c r="G13" s="33" t="str">
        <x:v>TCP</x:v>
      </x:c>
      <x:c r="H13" s="33" t="str">
        <x:v>22</x:v>
      </x:c>
      <x:c r="I13" s="33" t="str">
        <x:v>Admin → Nodes</x:v>
      </x:c>
      <x:c r="J13" s="33" t="str">
        <x:v>Required</x:v>
      </x:c>
      <x:c r="K13" s="33" t="str">
        <x:v>ALLOW</x:v>
      </x:c>
      <x:c r="L13" s="33" t="str">
        <x:v>SSH deployment/preflight</x:v>
      </x:c>
      <x:c r="M13" s="33" t="str">
        <x:v>Package requires SSH to workers with strict host-key checking and passwordless sudo. Limit source to deployment/automation host(s).</x:v>
      </x:c>
      <x:c r="N13" s="33" t="str">
        <x:v>docs/DEPLOYMENT-AND-CONFIGURATION.md</x:v>
      </x:c>
    </x:row>
    <x:row r="14">
      <x:c r="A14" s="33" t="str">
        <x:v>ADMIN-02</x:v>
      </x:c>
      <x:c r="B14" s="33" t="str">
        <x:v>Administration</x:v>
      </x:c>
      <x:c r="C14" s="33" t="str">
        <x:v>DEPLOYMENT-CONTROLLER / ADMIN-JUMP</x:v>
      </x:c>
      <x:c r="D14" s="33" t="str">
        <x:v>Source IP/group: TBD</x:v>
      </x:c>
      <x:c r="E14" s="33" t="str">
        <x:v>K8S-API-ENDPOINTS</x:v>
      </x:c>
      <x:c r="F14" s="33" t="str">
        <x:v>Per-cluster API endpoint IP/VIP: TBD</x:v>
      </x:c>
      <x:c r="G14" s="33" t="str">
        <x:v>TCP</x:v>
      </x:c>
      <x:c r="H14" s="33" t="str">
        <x:v>6443</x:v>
      </x:c>
      <x:c r="I14" s="33" t="str">
        <x:v>Admin → API</x:v>
      </x:c>
      <x:c r="J14" s="33" t="str">
        <x:v>Required</x:v>
      </x:c>
      <x:c r="K14" s="33" t="str">
        <x:v>ALLOW</x:v>
      </x:c>
      <x:c r="L14" s="33" t="str">
        <x:v>kubectl / cluster administration</x:v>
      </x:c>
      <x:c r="M14" s="33" t="str">
        <x:v>Use explicit API endpoint objects. Full production endpoints are not defined in the package.</x:v>
      </x:c>
      <x:c r="N14" s="33" t="str">
        <x:v>docs/DEPLOYMENT-AND-CONFIGURATION.md; Official RKE2 requirements</x:v>
      </x:c>
    </x:row>
    <x:row r="15">
      <x:c r="A15" s="33" t="str">
        <x:v>ADMIN-03</x:v>
      </x:c>
      <x:c r="B15" s="33" t="str">
        <x:v>Administration</x:v>
      </x:c>
      <x:c r="C15" s="33" t="str">
        <x:v>DEPLOYMENT-CONTROLLER</x:v>
      </x:c>
      <x:c r="D15" s="33" t="str">
        <x:v>Source IP/group: TBD</x:v>
      </x:c>
      <x:c r="E15" s="33" t="str">
        <x:v>GITLAB + KUBEHARBOR</x:v>
      </x:c>
      <x:c r="F15" s="33" t="str">
        <x:v>gitlab001.dev.local; kubeharbor.dev.kube</x:v>
      </x:c>
      <x:c r="G15" s="33" t="str">
        <x:v>TCP</x:v>
      </x:c>
      <x:c r="H15" s="33" t="str">
        <x:v>443</x:v>
      </x:c>
      <x:c r="I15" s="33" t="str">
        <x:v>Admin → Services</x:v>
      </x:c>
      <x:c r="J15" s="33" t="str">
        <x:v>Required</x:v>
      </x:c>
      <x:c r="K15" s="33" t="str">
        <x:v>ALLOW</x:v>
      </x:c>
      <x:c r="L15" s="33" t="str">
        <x:v>Repository access, image/chart validation</x:v>
      </x:c>
      <x:c r="M15" s="33" t="str">
        <x:v>Resolve FQDNs to production IP objects or use supported FQDN policy constructs.</x:v>
      </x:c>
      <x:c r="N15" s="33" t="str">
        <x:v>README.md; config/fleet-bootstrap.example.env</x:v>
      </x:c>
    </x:row>
    <x:row r="16">
      <x:c r="A16" s="33" t="str">
        <x:v>DNS-01</x:v>
      </x:c>
      <x:c r="B16" s="33" t="str">
        <x:v>Shared Infrastructure</x:v>
      </x:c>
      <x:c r="C16" s="33" t="str">
        <x:v>SEG1-ALL-NODES / POD-EGRESS</x:v>
      </x:c>
      <x:c r="D16" s="33" t="str">
        <x:v>Node IPs / pod CIDRs: TBD</x:v>
      </x:c>
      <x:c r="E16" s="33" t="str">
        <x:v>SEG1-DNS</x:v>
      </x:c>
      <x:c r="F16" s="33" t="str">
        <x:v>1.0.1.30, 1.0.1.31</x:v>
      </x:c>
      <x:c r="G16" s="33" t="str">
        <x:v>UDP/TCP</x:v>
      </x:c>
      <x:c r="H16" s="33" t="str">
        <x:v>53</x:v>
      </x:c>
      <x:c r="I16" s="33" t="str">
        <x:v>Cluster → DNS</x:v>
      </x:c>
      <x:c r="J16" s="33" t="str">
        <x:v>Required</x:v>
      </x:c>
      <x:c r="K16" s="33" t="str">
        <x:v>ALLOW</x:v>
      </x:c>
      <x:c r="L16" s="33" t="str">
        <x:v>Primary DNS resolution</x:v>
      </x:c>
      <x:c r="M16" s="33" t="str">
        <x:v>TCP/53 retained for large responses/zone operations where applicable.</x:v>
      </x:c>
      <x:c r="N16" s="33" t="str">
        <x:v>config/fleet-bootstrap.example.env; scripts/_lib/common.sh</x:v>
      </x:c>
    </x:row>
    <x:row r="17">
      <x:c r="A17" s="33" t="str">
        <x:v>DNS-02</x:v>
      </x:c>
      <x:c r="B17" s="33" t="str">
        <x:v>Shared Infrastructure</x:v>
      </x:c>
      <x:c r="C17" s="33" t="str">
        <x:v>COREDNS / POD-EGRESS</x:v>
      </x:c>
      <x:c r="D17" s="33" t="str">
        <x:v>Pod CIDRs / egress identity: TBD</x:v>
      </x:c>
      <x:c r="E17" s="33" t="str">
        <x:v>JCP-DNS</x:v>
      </x:c>
      <x:c r="F17" s="33" t="str">
        <x:v>10.22.1.34, 10.22.1.35</x:v>
      </x:c>
      <x:c r="G17" s="33" t="str">
        <x:v>UDP/TCP</x:v>
      </x:c>
      <x:c r="H17" s="33" t="str">
        <x:v>53</x:v>
      </x:c>
      <x:c r="I17" s="33" t="str">
        <x:v>Cluster → DNS</x:v>
      </x:c>
      <x:c r="J17" s="33" t="str">
        <x:v>Required</x:v>
      </x:c>
      <x:c r="K17" s="33" t="str">
        <x:v>ALLOW</x:v>
      </x:c>
      <x:c r="L17" s="33" t="str">
        <x:v>JCP DNS forwarding</x:v>
      </x:c>
      <x:c r="M17" s="33" t="str">
        <x:v>Package explicitly defines JCP DNS forwarders. Determine whether NSX sees pod source addresses or node/SNAT addresses.</x:v>
      </x:c>
      <x:c r="N17" s="33" t="str">
        <x:v>config/fleet-bootstrap.example.env; scripts/_lib/common.sh</x:v>
      </x:c>
    </x:row>
    <x:row r="18">
      <x:c r="A18" s="33" t="str">
        <x:v>NTP-01</x:v>
      </x:c>
      <x:c r="B18" s="33" t="str">
        <x:v>Shared Infrastructure</x:v>
      </x:c>
      <x:c r="C18" s="33" t="str">
        <x:v>SEG1-ALL-NODES</x:v>
      </x:c>
      <x:c r="D18" s="33" t="str">
        <x:v>Production node IPs: TBD</x:v>
      </x:c>
      <x:c r="E18" s="33" t="str">
        <x:v>SEG1-NTP</x:v>
      </x:c>
      <x:c r="F18" s="33" t="str">
        <x:v>1.0.1.34</x:v>
      </x:c>
      <x:c r="G18" s="33" t="str">
        <x:v>UDP</x:v>
      </x:c>
      <x:c r="H18" s="33" t="str">
        <x:v>123</x:v>
      </x:c>
      <x:c r="I18" s="33" t="str">
        <x:v>Nodes → NTP</x:v>
      </x:c>
      <x:c r="J18" s="33" t="str">
        <x:v>Required</x:v>
      </x:c>
      <x:c r="K18" s="33" t="str">
        <x:v>ALLOW</x:v>
      </x:c>
      <x:c r="L18" s="33" t="str">
        <x:v>Time synchronization</x:v>
      </x:c>
      <x:c r="M18" s="33" t="str">
        <x:v>Required before deployment/validation; time skew impacts TLS and identity.</x:v>
      </x:c>
      <x:c r="N18" s="33" t="str">
        <x:v>config/fleet-bootstrap.example.env; docs/DEPLOYMENT-AND-CONFIGURATION.md</x:v>
      </x:c>
    </x:row>
    <x:row r="19">
      <x:c r="A19" s="33" t="str">
        <x:v>REG-01</x:v>
      </x:c>
      <x:c r="B19" s="33" t="str">
        <x:v>Air-Gap Registry</x:v>
      </x:c>
      <x:c r="C19" s="33" t="str">
        <x:v>SEG1-ALL-NODES</x:v>
      </x:c>
      <x:c r="D19" s="33" t="str">
        <x:v>Production node IPs: TBD</x:v>
      </x:c>
      <x:c r="E19" s="33" t="str">
        <x:v>KUBEHARBOR</x:v>
      </x:c>
      <x:c r="F19" s="33" t="str">
        <x:v>kubeharbor.dev.kube</x:v>
      </x:c>
      <x:c r="G19" s="33" t="str">
        <x:v>TCP</x:v>
      </x:c>
      <x:c r="H19" s="33" t="str">
        <x:v>443</x:v>
      </x:c>
      <x:c r="I19" s="33" t="str">
        <x:v>Nodes → Registry</x:v>
      </x:c>
      <x:c r="J19" s="33" t="str">
        <x:v>Required</x:v>
      </x:c>
      <x:c r="K19" s="33" t="str">
        <x:v>ALLOW</x:v>
      </x:c>
      <x:c r="L19" s="33" t="str">
        <x:v>OCI image pulls / Helm OCI pulls</x:v>
      </x:c>
      <x:c r="M19" s="33" t="str">
        <x:v>Container runtime image pulls originate from nodes. Fleet/Helm OCI clients also require access.</x:v>
      </x:c>
      <x:c r="N19" s="33" t="str">
        <x:v>config/fleet-bootstrap.example.env; fleet bundle OCI chart references</x:v>
      </x:c>
    </x:row>
    <x:row r="20">
      <x:c r="A20" s="33" t="str">
        <x:v>GIT-01</x:v>
      </x:c>
      <x:c r="B20" s="33" t="str">
        <x:v>GitOps / GitLab</x:v>
      </x:c>
      <x:c r="C20" s="33" t="str">
        <x:v>J64SEGMAN-GITOPS</x:v>
      </x:c>
      <x:c r="D20" s="33" t="str">
        <x:v>j64seg1opman nodes/pods: TBD</x:v>
      </x:c>
      <x:c r="E20" s="33" t="str">
        <x:v>GITLAB</x:v>
      </x:c>
      <x:c r="F20" s="33" t="str">
        <x:v>gitlab001.dev.local</x:v>
      </x:c>
      <x:c r="G20" s="33" t="str">
        <x:v>TCP</x:v>
      </x:c>
      <x:c r="H20" s="33" t="str">
        <x:v>443</x:v>
      </x:c>
      <x:c r="I20" s="33" t="str">
        <x:v>Management → GitLab</x:v>
      </x:c>
      <x:c r="J20" s="33" t="str">
        <x:v>Required</x:v>
      </x:c>
      <x:c r="K20" s="33" t="str">
        <x:v>ALLOW</x:v>
      </x:c>
      <x:c r="L20" s="33" t="str">
        <x:v>Fleet GitRepo synchronization / GitLab Runner</x:v>
      </x:c>
      <x:c r="M20" s="33" t="str">
        <x:v>GitLab Runner is deployed only to j64seg1opman and uses https://gitlab001.dev.local.</x:v>
      </x:c>
      <x:c r="N20" s="33" t="str">
        <x:v>fleet/bundles/72-gitlab-runner/fleet.yaml; values.yaml; config/fleet-bootstrap.example.env</x:v>
      </x:c>
    </x:row>
    <x:row r="21">
      <x:c r="A21" s="33" t="str">
        <x:v>RANCHER-01</x:v>
      </x:c>
      <x:c r="B21" s="33" t="str">
        <x:v>Rancher Management</x:v>
      </x:c>
      <x:c r="C21" s="33" t="str">
        <x:v>DOWNSTREAM-CLUSTER-AGENTS</x:v>
      </x:c>
      <x:c r="D21" s="33" t="str">
        <x:v>J64/J52/R01 node/pod egress: TBD</x:v>
      </x:c>
      <x:c r="E21" s="33" t="str">
        <x:v>RANCHER-INGRESS</x:v>
      </x:c>
      <x:c r="F21" s="33" t="str">
        <x:v>rancher.dev.kube / 1.0.0.205</x:v>
      </x:c>
      <x:c r="G21" s="33" t="str">
        <x:v>TCP</x:v>
      </x:c>
      <x:c r="H21" s="33" t="str">
        <x:v>443</x:v>
      </x:c>
      <x:c r="I21" s="33" t="str">
        <x:v>Downstream → Management</x:v>
      </x:c>
      <x:c r="J21" s="33" t="str">
        <x:v>Required</x:v>
      </x:c>
      <x:c r="K21" s="33" t="str">
        <x:v>ALLOW</x:v>
      </x:c>
      <x:c r="L21" s="33" t="str">
        <x:v>Rancher cluster-agent WebSocket</x:v>
      </x:c>
      <x:c r="M21" s="33" t="str">
        <x:v>Permit long-lived WSS/HTTPS. Registered/imported downstream clusters connect outbound to Rancher.</x:v>
      </x:c>
      <x:c r="N21" s="33" t="str">
        <x:v>README.md; docs/ARCHITECTURE-AND-DESIGN.md; Official Rancher port requirements</x:v>
      </x:c>
    </x:row>
    <x:row r="22">
      <x:c r="A22" s="33" t="str">
        <x:v>RANCHER-02</x:v>
      </x:c>
      <x:c r="B22" s="33" t="str">
        <x:v>Rancher Management</x:v>
      </x:c>
      <x:c r="C22" s="33" t="str">
        <x:v>J64SEGMAN / Rancher</x:v>
      </x:c>
      <x:c r="D22" s="33" t="str">
        <x:v>Management node/pod egress: TBD</x:v>
      </x:c>
      <x:c r="E22" s="33" t="str">
        <x:v>DOWNSTREAM-K8S-API</x:v>
      </x:c>
      <x:c r="F22" s="33" t="str">
        <x:v>Per-cluster API endpoints: TBD</x:v>
      </x:c>
      <x:c r="G22" s="33" t="str">
        <x:v>TCP</x:v>
      </x:c>
      <x:c r="H22" s="33" t="str">
        <x:v>6443</x:v>
      </x:c>
      <x:c r="I22" s="33" t="str">
        <x:v>Management → Downstream API</x:v>
      </x:c>
      <x:c r="J22" s="33" t="str">
        <x:v>Conditional</x:v>
      </x:c>
      <x:c r="K22" s="33" t="str">
        <x:v>ALLOW</x:v>
      </x:c>
      <x:c r="L22" s="33" t="str">
        <x:v>Direct Kubernetes API / Authorized Cluster Endpoint</x:v>
      </x:c>
      <x:c r="M22" s="33" t="str">
        <x:v>Not required for baseline Rancher agent tunnel. Enable only if operations explicitly use direct downstream API connectivity.</x:v>
      </x:c>
      <x:c r="N22" s="33" t="str">
        <x:v>Official Rancher port requirements; production API endpoints TBD</x:v>
      </x:c>
    </x:row>
    <x:row r="23">
      <x:c r="A23" s="33" t="str">
        <x:v>ING-MAN-443</x:v>
      </x:c>
      <x:c r="B23" s="33" t="str">
        <x:v>North-South Ingress</x:v>
      </x:c>
      <x:c r="C23" s="33" t="str">
        <x:v>SEG1-TRUSTED-USERS</x:v>
      </x:c>
      <x:c r="D23" s="33" t="str">
        <x:v>Package default: 1.0.0.0/23</x:v>
      </x:c>
      <x:c r="E23" s="33" t="str">
        <x:v>J64SEGMAN-INGRESS</x:v>
      </x:c>
      <x:c r="F23" s="33" t="str">
        <x:v>1.0.0.205</x:v>
      </x:c>
      <x:c r="G23" s="33" t="str">
        <x:v>TCP</x:v>
      </x:c>
      <x:c r="H23" s="33" t="str">
        <x:v>443</x:v>
      </x:c>
      <x:c r="I23" s="33" t="str">
        <x:v>Users/Admins → Ingress</x:v>
      </x:c>
      <x:c r="J23" s="33" t="str">
        <x:v>Required</x:v>
      </x:c>
      <x:c r="K23" s="33" t="str">
        <x:v>ALLOW</x:v>
      </x:c>
      <x:c r="L23" s="33" t="str">
        <x:v>Rancher / management Longhorn / management Kiali HTTPS</x:v>
      </x:c>
      <x:c r="M23" s="33" t="str">
        <x:v>Package defaults ingress source to 1.0.0.0/23. Replace with approved production user/admin source groups if different.</x:v>
      </x:c>
      <x:c r="N23" s="33" t="str">
        <x:v>README.md; docs/ARCHITECTURE-AND-DESIGN.md; scripts/_lib/common.sh</x:v>
      </x:c>
    </x:row>
    <x:row r="24">
      <x:c r="A24" s="33" t="str">
        <x:v>ING-MAN-80</x:v>
      </x:c>
      <x:c r="B24" s="33" t="str">
        <x:v>North-South Ingress</x:v>
      </x:c>
      <x:c r="C24" s="33" t="str">
        <x:v>SEG1-TRUSTED-USERS</x:v>
      </x:c>
      <x:c r="D24" s="33" t="str">
        <x:v>Package default: 1.0.0.0/23</x:v>
      </x:c>
      <x:c r="E24" s="33" t="str">
        <x:v>J64SEGMAN-INGRESS</x:v>
      </x:c>
      <x:c r="F24" s="33" t="str">
        <x:v>1.0.0.205</x:v>
      </x:c>
      <x:c r="G24" s="33" t="str">
        <x:v>TCP</x:v>
      </x:c>
      <x:c r="H24" s="33" t="str">
        <x:v>80</x:v>
      </x:c>
      <x:c r="I24" s="33" t="str">
        <x:v>Users/Admins → Ingress</x:v>
      </x:c>
      <x:c r="J24" s="33" t="str">
        <x:v>Conditional</x:v>
      </x:c>
      <x:c r="K24" s="33" t="str">
        <x:v>ALLOW</x:v>
      </x:c>
      <x:c r="L24" s="33" t="str">
        <x:v>HTTP / redirect path</x:v>
      </x:c>
      <x:c r="M24" s="33" t="str">
        <x:v>Allow only if HTTP redirect or an explicit HTTP route is required; prefer 443-only.</x:v>
      </x:c>
      <x:c r="N24" s="33" t="str">
        <x:v>scripts/_lib/common.sh</x:v>
      </x:c>
    </x:row>
    <x:row r="25">
      <x:c r="A25" s="33" t="str">
        <x:v>ING-J64-443</x:v>
      </x:c>
      <x:c r="B25" s="33" t="str">
        <x:v>North-South Ingress</x:v>
      </x:c>
      <x:c r="C25" s="33" t="str">
        <x:v>SEG1-TRUSTED-USERS</x:v>
      </x:c>
      <x:c r="D25" s="33" t="str">
        <x:v>Package default: 1.0.0.0/23</x:v>
      </x:c>
      <x:c r="E25" s="33" t="str">
        <x:v>J64SEGDEV-INGRESS</x:v>
      </x:c>
      <x:c r="F25" s="33" t="str">
        <x:v>1.0.0.215</x:v>
      </x:c>
      <x:c r="G25" s="33" t="str">
        <x:v>TCP</x:v>
      </x:c>
      <x:c r="H25" s="33" t="str">
        <x:v>443</x:v>
      </x:c>
      <x:c r="I25" s="33" t="str">
        <x:v>Users/Admins → Ingress</x:v>
      </x:c>
      <x:c r="J25" s="33" t="str">
        <x:v>Required</x:v>
      </x:c>
      <x:c r="K25" s="33" t="str">
        <x:v>ALLOW</x:v>
      </x:c>
      <x:c r="L25" s="33" t="str">
        <x:v>J64 app/identity ingress HTTPS</x:v>
      </x:c>
      <x:c r="M25" s="33" t="str">
        <x:v>Includes active Keycloak identity path when DNS points to J64.</x:v>
      </x:c>
      <x:c r="N25" s="33" t="str">
        <x:v>README.md; docs/ARCHITECTURE-AND-DESIGN.md</x:v>
      </x:c>
    </x:row>
    <x:row r="26">
      <x:c r="A26" s="33" t="str">
        <x:v>ING-J64-80</x:v>
      </x:c>
      <x:c r="B26" s="33" t="str">
        <x:v>North-South Ingress</x:v>
      </x:c>
      <x:c r="C26" s="33" t="str">
        <x:v>SEG1-TRUSTED-USERS</x:v>
      </x:c>
      <x:c r="D26" s="33" t="str">
        <x:v>Package default: 1.0.0.0/23</x:v>
      </x:c>
      <x:c r="E26" s="33" t="str">
        <x:v>J64SEGDEV-INGRESS</x:v>
      </x:c>
      <x:c r="F26" s="33" t="str">
        <x:v>1.0.0.215</x:v>
      </x:c>
      <x:c r="G26" s="33" t="str">
        <x:v>TCP</x:v>
      </x:c>
      <x:c r="H26" s="33" t="str">
        <x:v>80</x:v>
      </x:c>
      <x:c r="I26" s="33" t="str">
        <x:v>Users/Admins → Ingress</x:v>
      </x:c>
      <x:c r="J26" s="33" t="str">
        <x:v>Conditional</x:v>
      </x:c>
      <x:c r="K26" s="33" t="str">
        <x:v>ALLOW</x:v>
      </x:c>
      <x:c r="L26" s="33" t="str">
        <x:v>HTTP / redirect path</x:v>
      </x:c>
      <x:c r="M26" s="33" t="str">
        <x:v>Prefer HTTPS only unless route requires HTTP.</x:v>
      </x:c>
      <x:c r="N26" s="33" t="str">
        <x:v>scripts/_lib/common.sh</x:v>
      </x:c>
    </x:row>
    <x:row r="27">
      <x:c r="A27" s="33" t="str">
        <x:v>ING-J52-443</x:v>
      </x:c>
      <x:c r="B27" s="33" t="str">
        <x:v>North-South Ingress</x:v>
      </x:c>
      <x:c r="C27" s="33" t="str">
        <x:v>SEG1-TRUSTED-USERS</x:v>
      </x:c>
      <x:c r="D27" s="33" t="str">
        <x:v>Package default: 1.0.0.0/23</x:v>
      </x:c>
      <x:c r="E27" s="33" t="str">
        <x:v>J52SEGDEV-INGRESS</x:v>
      </x:c>
      <x:c r="F27" s="33" t="str">
        <x:v>1.0.0.225</x:v>
      </x:c>
      <x:c r="G27" s="33" t="str">
        <x:v>TCP</x:v>
      </x:c>
      <x:c r="H27" s="33" t="str">
        <x:v>443</x:v>
      </x:c>
      <x:c r="I27" s="33" t="str">
        <x:v>Users/Admins → Ingress</x:v>
      </x:c>
      <x:c r="J27" s="33" t="str">
        <x:v>Required</x:v>
      </x:c>
      <x:c r="K27" s="33" t="str">
        <x:v>ALLOW</x:v>
      </x:c>
      <x:c r="L27" s="33" t="str">
        <x:v>J52 app/identity ingress HTTPS</x:v>
      </x:c>
      <x:c r="M27" s="33" t="str">
        <x:v>Includes active Keycloak identity path after DNS failover to J52.</x:v>
      </x:c>
      <x:c r="N27" s="33" t="str">
        <x:v>README.md; docs/ARCHITECTURE-AND-DESIGN.md</x:v>
      </x:c>
    </x:row>
    <x:row r="28">
      <x:c r="A28" s="33" t="str">
        <x:v>ING-J52-80</x:v>
      </x:c>
      <x:c r="B28" s="33" t="str">
        <x:v>North-South Ingress</x:v>
      </x:c>
      <x:c r="C28" s="33" t="str">
        <x:v>SEG1-TRUSTED-USERS</x:v>
      </x:c>
      <x:c r="D28" s="33" t="str">
        <x:v>Package default: 1.0.0.0/23</x:v>
      </x:c>
      <x:c r="E28" s="33" t="str">
        <x:v>J52SEGDEV-INGRESS</x:v>
      </x:c>
      <x:c r="F28" s="33" t="str">
        <x:v>1.0.0.225</x:v>
      </x:c>
      <x:c r="G28" s="33" t="str">
        <x:v>TCP</x:v>
      </x:c>
      <x:c r="H28" s="33" t="str">
        <x:v>80</x:v>
      </x:c>
      <x:c r="I28" s="33" t="str">
        <x:v>Users/Admins → Ingress</x:v>
      </x:c>
      <x:c r="J28" s="33" t="str">
        <x:v>Conditional</x:v>
      </x:c>
      <x:c r="K28" s="33" t="str">
        <x:v>ALLOW</x:v>
      </x:c>
      <x:c r="L28" s="33" t="str">
        <x:v>HTTP / redirect path</x:v>
      </x:c>
      <x:c r="M28" s="33" t="str">
        <x:v>Prefer HTTPS only unless route requires HTTP.</x:v>
      </x:c>
      <x:c r="N28" s="33" t="str">
        <x:v>scripts/_lib/common.sh</x:v>
      </x:c>
    </x:row>
    <x:row r="29">
      <x:c r="A29" s="33" t="str">
        <x:v>ING-R01-443</x:v>
      </x:c>
      <x:c r="B29" s="33" t="str">
        <x:v>North-South Ingress</x:v>
      </x:c>
      <x:c r="C29" s="33" t="str">
        <x:v>SEG1-TRUSTED-USERS</x:v>
      </x:c>
      <x:c r="D29" s="33" t="str">
        <x:v>Package default: 1.0.0.0/23</x:v>
      </x:c>
      <x:c r="E29" s="33" t="str">
        <x:v>R01SEGDEV-INGRESS</x:v>
      </x:c>
      <x:c r="F29" s="33" t="str">
        <x:v>1.0.0.235</x:v>
      </x:c>
      <x:c r="G29" s="33" t="str">
        <x:v>TCP</x:v>
      </x:c>
      <x:c r="H29" s="33" t="str">
        <x:v>443</x:v>
      </x:c>
      <x:c r="I29" s="33" t="str">
        <x:v>Users/Admins → Ingress</x:v>
      </x:c>
      <x:c r="J29" s="33" t="str">
        <x:v>Required</x:v>
      </x:c>
      <x:c r="K29" s="33" t="str">
        <x:v>ALLOW</x:v>
      </x:c>
      <x:c r="L29" s="33" t="str">
        <x:v>R01 application/admin ingress HTTPS</x:v>
      </x:c>
      <x:c r="M29" s="33" t="str">
        <x:v>Use approved production user/admin source groups.</x:v>
      </x:c>
      <x:c r="N29" s="33" t="str">
        <x:v>README.md; docs/ARCHITECTURE-AND-DESIGN.md</x:v>
      </x:c>
    </x:row>
    <x:row r="30">
      <x:c r="A30" s="33" t="str">
        <x:v>ING-R01-80</x:v>
      </x:c>
      <x:c r="B30" s="33" t="str">
        <x:v>North-South Ingress</x:v>
      </x:c>
      <x:c r="C30" s="33" t="str">
        <x:v>SEG1-TRUSTED-USERS</x:v>
      </x:c>
      <x:c r="D30" s="33" t="str">
        <x:v>Package default: 1.0.0.0/23</x:v>
      </x:c>
      <x:c r="E30" s="33" t="str">
        <x:v>R01SEGDEV-INGRESS</x:v>
      </x:c>
      <x:c r="F30" s="33" t="str">
        <x:v>1.0.0.235</x:v>
      </x:c>
      <x:c r="G30" s="33" t="str">
        <x:v>TCP</x:v>
      </x:c>
      <x:c r="H30" s="33" t="str">
        <x:v>80</x:v>
      </x:c>
      <x:c r="I30" s="33" t="str">
        <x:v>Users/Admins → Ingress</x:v>
      </x:c>
      <x:c r="J30" s="33" t="str">
        <x:v>Conditional</x:v>
      </x:c>
      <x:c r="K30" s="33" t="str">
        <x:v>ALLOW</x:v>
      </x:c>
      <x:c r="L30" s="33" t="str">
        <x:v>HTTP / redirect path</x:v>
      </x:c>
      <x:c r="M30" s="33" t="str">
        <x:v>Prefer HTTPS only unless route requires HTTP.</x:v>
      </x:c>
      <x:c r="N30" s="33" t="str">
        <x:v>scripts/_lib/common.sh</x:v>
      </x:c>
    </x:row>
    <x:row r="31">
      <x:c r="A31" s="33" t="str">
        <x:v>ISTIO-01</x:v>
      </x:c>
      <x:c r="B31" s="33" t="str">
        <x:v>Istio Multi-Cluster</x:v>
      </x:c>
      <x:c r="C31" s="33" t="str">
        <x:v>REMOTE-CLUSTER-WORKLOADS / GATEWAYS</x:v>
      </x:c>
      <x:c r="D31" s="33" t="str">
        <x:v>Cluster node/pod egress: TBD</x:v>
      </x:c>
      <x:c r="E31" s="33" t="str">
        <x:v>REMOTE-EASTWEST-VIPS</x:v>
      </x:c>
      <x:c r="F31" s="33" t="str">
        <x:v>1.0.0.210, .220, .230, .240 (exclude local cluster)</x:v>
      </x:c>
      <x:c r="G31" s="33" t="str">
        <x:v>TCP</x:v>
      </x:c>
      <x:c r="H31" s="33" t="str">
        <x:v>15443</x:v>
      </x:c>
      <x:c r="I31" s="33" t="str">
        <x:v>Cluster ↔ Remote EW VIP</x:v>
      </x:c>
      <x:c r="J31" s="33" t="str">
        <x:v>Required</x:v>
      </x:c>
      <x:c r="K31" s="33" t="str">
        <x:v>ALLOW</x:v>
      </x:c>
      <x:c r="L31" s="33" t="str">
        <x:v>Istio cross-cluster service traffic</x:v>
      </x:c>
      <x:c r="M31" s="33" t="str">
        <x:v>Build explicit per-source-cluster to remote east-west VIP rules to preserve least privilege.</x:v>
      </x:c>
      <x:c r="N31" s="33" t="str">
        <x:v>fleet/bundles/63-eastwest-gateway/values.yaml; mesh network configuration</x:v>
      </x:c>
    </x:row>
    <x:row r="32">
      <x:c r="A32" s="33" t="str">
        <x:v>ISTIO-02</x:v>
      </x:c>
      <x:c r="B32" s="33" t="str">
        <x:v>Istio Multi-Cluster</x:v>
      </x:c>
      <x:c r="C32" s="33" t="str">
        <x:v>REMOTE-CLUSTER-CONTROL / GATEWAYS</x:v>
      </x:c>
      <x:c r="D32" s="33" t="str">
        <x:v>Cluster node/pod egress: TBD</x:v>
      </x:c>
      <x:c r="E32" s="33" t="str">
        <x:v>REMOTE-EASTWEST-VIPS</x:v>
      </x:c>
      <x:c r="F32" s="33" t="str">
        <x:v>1.0.0.210, .220, .230, .240 (exclude local cluster)</x:v>
      </x:c>
      <x:c r="G32" s="33" t="str">
        <x:v>TCP</x:v>
      </x:c>
      <x:c r="H32" s="33" t="str">
        <x:v>15012</x:v>
      </x:c>
      <x:c r="I32" s="33" t="str">
        <x:v>Cluster ↔ Remote EW VIP</x:v>
      </x:c>
      <x:c r="J32" s="33" t="str">
        <x:v>Required</x:v>
      </x:c>
      <x:c r="K32" s="33" t="str">
        <x:v>ALLOW</x:v>
      </x:c>
      <x:c r="L32" s="33" t="str">
        <x:v>Istio control-plane discovery / istiod TLS</x:v>
      </x:c>
      <x:c r="M32" s="33" t="str">
        <x:v>Port is explicitly exposed by package east-west gateway service.</x:v>
      </x:c>
      <x:c r="N32" s="33" t="str">
        <x:v>fleet/bundles/63-eastwest-gateway/values.yaml; Official Istio multicluster guidance</x:v>
      </x:c>
    </x:row>
    <x:row r="33">
      <x:c r="A33" s="33" t="str">
        <x:v>ISTIO-03</x:v>
      </x:c>
      <x:c r="B33" s="33" t="str">
        <x:v>Istio Multi-Cluster</x:v>
      </x:c>
      <x:c r="C33" s="33" t="str">
        <x:v>REMOTE-CLUSTER-CONTROL / GATEWAYS</x:v>
      </x:c>
      <x:c r="D33" s="33" t="str">
        <x:v>Cluster node/pod egress: TBD</x:v>
      </x:c>
      <x:c r="E33" s="33" t="str">
        <x:v>REMOTE-EASTWEST-VIPS</x:v>
      </x:c>
      <x:c r="F33" s="33" t="str">
        <x:v>1.0.0.210, .220, .230, .240 (exclude local cluster)</x:v>
      </x:c>
      <x:c r="G33" s="33" t="str">
        <x:v>TCP</x:v>
      </x:c>
      <x:c r="H33" s="33" t="str">
        <x:v>15017</x:v>
      </x:c>
      <x:c r="I33" s="33" t="str">
        <x:v>Cluster ↔ Remote EW VIP</x:v>
      </x:c>
      <x:c r="J33" s="33" t="str">
        <x:v>Required</x:v>
      </x:c>
      <x:c r="K33" s="33" t="str">
        <x:v>ALLOW</x:v>
      </x:c>
      <x:c r="L33" s="33" t="str">
        <x:v>Istio webhook/control-plane path</x:v>
      </x:c>
      <x:c r="M33" s="33" t="str">
        <x:v>Port is explicitly exposed by package east-west gateway service.</x:v>
      </x:c>
      <x:c r="N33" s="33" t="str">
        <x:v>fleet/bundles/63-eastwest-gateway/values.yaml; Official Istio multicluster guidance</x:v>
      </x:c>
    </x:row>
    <x:row r="34">
      <x:c r="A34" s="33" t="str">
        <x:v>IDDB-01</x:v>
      </x:c>
      <x:c r="B34" s="33" t="str">
        <x:v>Identity / PostgreSQL DR</x:v>
      </x:c>
      <x:c r="C34" s="33" t="str">
        <x:v>J64-CNPG / IDENTITY</x:v>
      </x:c>
      <x:c r="D34" s="33" t="str">
        <x:v>J64 pod/node egress: TBD</x:v>
      </x:c>
      <x:c r="E34" s="33" t="str">
        <x:v>J52-PG-REPLICATION</x:v>
      </x:c>
      <x:c r="F34" s="33" t="str">
        <x:v>1.0.0.226 / j52seg1opdev-postgres-repl.dev.kube</x:v>
      </x:c>
      <x:c r="G34" s="33" t="str">
        <x:v>TCP</x:v>
      </x:c>
      <x:c r="H34" s="33" t="str">
        <x:v>5432</x:v>
      </x:c>
      <x:c r="I34" s="33" t="str">
        <x:v>J64 → J52</x:v>
      </x:c>
      <x:c r="J34" s="33" t="str">
        <x:v>Required</x:v>
      </x:c>
      <x:c r="K34" s="33" t="str">
        <x:v>ALLOW</x:v>
      </x:c>
      <x:c r="L34" s="33" t="str">
        <x:v>PostgreSQL streaming replication to J52</x:v>
      </x:c>
      <x:c r="M34" s="33" t="str">
        <x:v>Required in normal J64-primary/J52-secondary posture.</x:v>
      </x:c>
      <x:c r="N34" s="33" t="str">
        <x:v>docs/ARCHITECTURE-AND-DESIGN.md; docs/OPERATIONS-AND-LIFECYCLE.md</x:v>
      </x:c>
    </x:row>
    <x:row r="35">
      <x:c r="A35" s="33" t="str">
        <x:v>IDDB-02</x:v>
      </x:c>
      <x:c r="B35" s="33" t="str">
        <x:v>Identity / PostgreSQL DR</x:v>
      </x:c>
      <x:c r="C35" s="33" t="str">
        <x:v>J52-CNPG / IDENTITY</x:v>
      </x:c>
      <x:c r="D35" s="33" t="str">
        <x:v>J52 pod/node egress: TBD</x:v>
      </x:c>
      <x:c r="E35" s="33" t="str">
        <x:v>J64-PG-REPLICATION</x:v>
      </x:c>
      <x:c r="F35" s="33" t="str">
        <x:v>1.0.0.216 / j64seg1opdev-postgres-repl.dev.kube</x:v>
      </x:c>
      <x:c r="G35" s="33" t="str">
        <x:v>TCP</x:v>
      </x:c>
      <x:c r="H35" s="33" t="str">
        <x:v>5432</x:v>
      </x:c>
      <x:c r="I35" s="33" t="str">
        <x:v>J52 → J64</x:v>
      </x:c>
      <x:c r="J35" s="33" t="str">
        <x:v>Required</x:v>
      </x:c>
      <x:c r="K35" s="33" t="str">
        <x:v>ALLOW</x:v>
      </x:c>
      <x:c r="L35" s="33" t="str">
        <x:v>Reverse PostgreSQL replication after failover</x:v>
      </x:c>
      <x:c r="M35" s="33" t="str">
        <x:v>Keep both directions permitted so failback does not require an emergency firewall change.</x:v>
      </x:c>
      <x:c r="N35" s="33" t="str">
        <x:v>docs/TROUBLESHOOTING-AND-SUPPORT.md; identity failover documentation</x:v>
      </x:c>
    </x:row>
    <x:row r="36">
      <x:c r="A36" s="33" t="str">
        <x:v>ID-HEALTH-01</x:v>
      </x:c>
      <x:c r="B36" s="33" t="str">
        <x:v>Identity Operations</x:v>
      </x:c>
      <x:c r="C36" s="33" t="str">
        <x:v>DEPLOYMENT-CONTROLLER / IDENTITY-OPS</x:v>
      </x:c>
      <x:c r="D36" s="33" t="str">
        <x:v>Source IP/group: TBD</x:v>
      </x:c>
      <x:c r="E36" s="33" t="str">
        <x:v>J64 + J52 INGRESS</x:v>
      </x:c>
      <x:c r="F36" s="33" t="str">
        <x:v>1.0.0.215, 1.0.0.225</x:v>
      </x:c>
      <x:c r="G36" s="33" t="str">
        <x:v>TCP</x:v>
      </x:c>
      <x:c r="H36" s="33" t="str">
        <x:v>443</x:v>
      </x:c>
      <x:c r="I36" s="33" t="str">
        <x:v>Ops → Ingress</x:v>
      </x:c>
      <x:c r="J36" s="33" t="str">
        <x:v>Required</x:v>
      </x:c>
      <x:c r="K36" s="33" t="str">
        <x:v>ALLOW</x:v>
      </x:c>
      <x:c r="L36" s="33" t="str">
        <x:v>Direct TLS/OIDC convergence and failover health checks</x:v>
      </x:c>
      <x:c r="M36" s="33" t="str">
        <x:v>Operations scripts validate both sites independent of canonical DNS target.</x:v>
      </x:c>
      <x:c r="N36" s="33" t="str">
        <x:v>docs/OPERATIONS-AND-LIFECYCLE.md; identity transition scripts</x:v>
      </x:c>
    </x:row>
    <x:row r="37">
      <x:c r="A37" s="33" t="str">
        <x:v>ELASTIC-01</x:v>
      </x:c>
      <x:c r="B37" s="33" t="str">
        <x:v>Observability</x:v>
      </x:c>
      <x:c r="C37" s="33" t="str">
        <x:v>ELASTIC-AGENT-NODES</x:v>
      </x:c>
      <x:c r="D37" s="33" t="str">
        <x:v>All cluster nodes (hostNetwork agent): TBD</x:v>
      </x:c>
      <x:c r="E37" s="33" t="str">
        <x:v>ELASTIC-FLEET</x:v>
      </x:c>
      <x:c r="F37" s="33" t="str">
        <x:v>1.0.0.30</x:v>
      </x:c>
      <x:c r="G37" s="33" t="str">
        <x:v>TCP</x:v>
      </x:c>
      <x:c r="H37" s="33" t="str">
        <x:v>8220</x:v>
      </x:c>
      <x:c r="I37" s="33" t="str">
        <x:v>Nodes → Fleet</x:v>
      </x:c>
      <x:c r="J37" s="33" t="str">
        <x:v>Required</x:v>
      </x:c>
      <x:c r="K37" s="33" t="str">
        <x:v>ALLOW</x:v>
      </x:c>
      <x:c r="L37" s="33" t="str">
        <x:v>Elastic Agent Fleet enrollment/management</x:v>
      </x:c>
      <x:c r="M37" s="33" t="str">
        <x:v>Elastic Agent runs hostNetwork DaemonSet; NSX source is expected to be node IPs.</x:v>
      </x:c>
      <x:c r="N37" s="33" t="str">
        <x:v>config/fleet-bootstrap.example.env; monitoring bundle values</x:v>
      </x:c>
    </x:row>
    <x:row r="38">
      <x:c r="A38" s="33" t="str">
        <x:v>OBS-01</x:v>
      </x:c>
      <x:c r="B38" s="33" t="str">
        <x:v>Observability</x:v>
      </x:c>
      <x:c r="C38" s="33" t="str">
        <x:v>KIALI-PODS / CLUSTER-EGRESS</x:v>
      </x:c>
      <x:c r="D38" s="33" t="str">
        <x:v>Pod CIDRs / egress identity: TBD</x:v>
      </x:c>
      <x:c r="E38" s="33" t="str">
        <x:v>PROMETHEUS</x:v>
      </x:c>
      <x:c r="F38" s="33" t="str">
        <x:v>j64seg1opman-prometheus.dev.kube</x:v>
      </x:c>
      <x:c r="G38" s="33" t="str">
        <x:v>TCP</x:v>
      </x:c>
      <x:c r="H38" s="33" t="str">
        <x:v>443</x:v>
      </x:c>
      <x:c r="I38" s="33" t="str">
        <x:v>Clusters → Prometheus</x:v>
      </x:c>
      <x:c r="J38" s="33" t="str">
        <x:v>Required</x:v>
      </x:c>
      <x:c r="K38" s="33" t="str">
        <x:v>ALLOW</x:v>
      </x:c>
      <x:c r="L38" s="33" t="str">
        <x:v>Kiali external Prometheus datasource</x:v>
      </x:c>
      <x:c r="M38" s="33" t="str">
        <x:v>Resolve FQDN to production address and define approved egress identity.</x:v>
      </x:c>
      <x:c r="N38" s="33" t="str">
        <x:v>Kiali bundle configuration</x:v>
      </x:c>
    </x:row>
    <x:row r="39">
      <x:c r="A39" s="33" t="str">
        <x:v>OBS-02</x:v>
      </x:c>
      <x:c r="B39" s="33" t="str">
        <x:v>Observability</x:v>
      </x:c>
      <x:c r="C39" s="33" t="str">
        <x:v>KIALI-PODS / CLUSTER-EGRESS</x:v>
      </x:c>
      <x:c r="D39" s="33" t="str">
        <x:v>Pod CIDRs / egress identity: TBD</x:v>
      </x:c>
      <x:c r="E39" s="33" t="str">
        <x:v>GRAFANA</x:v>
      </x:c>
      <x:c r="F39" s="33" t="str">
        <x:v>grafana.dev.kube</x:v>
      </x:c>
      <x:c r="G39" s="33" t="str">
        <x:v>TCP</x:v>
      </x:c>
      <x:c r="H39" s="33" t="str">
        <x:v>443</x:v>
      </x:c>
      <x:c r="I39" s="33" t="str">
        <x:v>Clusters → Grafana</x:v>
      </x:c>
      <x:c r="J39" s="33" t="str">
        <x:v>Required</x:v>
      </x:c>
      <x:c r="K39" s="33" t="str">
        <x:v>ALLOW</x:v>
      </x:c>
      <x:c r="L39" s="33" t="str">
        <x:v>Kiali Grafana integration</x:v>
      </x:c>
      <x:c r="M39" s="33" t="str">
        <x:v>Resolve FQDN to production address and define approved egress identity.</x:v>
      </x:c>
      <x:c r="N39" s="33" t="str">
        <x:v>Kiali bundle configuration</x:v>
      </x:c>
    </x:row>
  </x:sheetData>
  <x:conditionalFormatting sqref="J2:J39">
    <x:cfRule type="expression" dxfId="0" priority="1">
      <x:formula>J2="Required"</x:formula>
    </x:cfRule>
    <x:cfRule type="expression" dxfId="1" priority="2">
      <x:formula>J2="Conditional"</x:formula>
    </x:cfRule>
    <x:cfRule type="expression" dxfId="2" priority="3">
      <x:formula>J2="Validate"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b201946f3b4c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42" hidden="0" customWidth="1"/>
    <x:col min="5" max="5" width="34" hidden="0" customWidth="1"/>
    <x:col min="6" max="6" width="18" hidden="0" customWidth="1"/>
    <x:col min="7" max="7" width="50" hidden="0" customWidth="1"/>
  </x:cols>
  <x:sheetData>
    <x:row r="1" ht="34" customHeight="1">
      <x:c r="A1" s="38" t="str">
        <x:v>Object Name</x:v>
      </x:c>
      <x:c r="B1" s="38" t="str">
        <x:v>Type</x:v>
      </x:c>
      <x:c r="C1" s="38" t="str">
        <x:v>Cluster / Site</x:v>
      </x:c>
      <x:c r="D1" s="38" t="str">
        <x:v>Address / FQDN</x:v>
      </x:c>
      <x:c r="E1" s="38" t="str">
        <x:v>Purpose</x:v>
      </x:c>
      <x:c r="F1" s="38" t="str">
        <x:v>Production Status</x:v>
      </x:c>
      <x:c r="G1" s="38" t="str">
        <x:v>Notes / Evidence</x:v>
      </x:c>
    </x:row>
    <x:row r="2">
      <x:c r="A2" s="33" t="str">
        <x:v>J64SEGMAN-NODES</x:v>
      </x:c>
      <x:c r="B2" s="33" t="str">
        <x:v>NSX Group</x:v>
      </x:c>
      <x:c r="C2" s="33" t="str">
        <x:v>j64seg1opman</x:v>
      </x:c>
      <x:c r="D2" s="33" t="str">
        <x:v>PROD NODE IPs/CIDRs REQUIRED</x:v>
      </x:c>
      <x:c r="E2" s="33" t="str">
        <x:v>All management-cluster VM/node addresses</x:v>
      </x:c>
      <x:c r="F2" s="33" t="str">
        <x:v>TBD - REQUIRED</x:v>
      </x:c>
      <x:c r="G2" s="33" t="str">
        <x:v>Package does not define complete management node inventory.</x:v>
      </x:c>
    </x:row>
    <x:row r="3">
      <x:c r="A3" s="33" t="str">
        <x:v>J64SEGDEV-NODES</x:v>
      </x:c>
      <x:c r="B3" s="33" t="str">
        <x:v>NSX Group</x:v>
      </x:c>
      <x:c r="C3" s="33" t="str">
        <x:v>j64seg1opdev</x:v>
      </x:c>
      <x:c r="D3" s="33" t="str">
        <x:v>PROD NODE IPs/CIDRs REQUIRED; package CP examples 1.0.0.141-1.0.0.143</x:v>
      </x:c>
      <x:c r="E3" s="33" t="str">
        <x:v>All J64 application/identity cluster nodes</x:v>
      </x:c>
      <x:c r="F3" s="33" t="str">
        <x:v>TBD - REQUIRED</x:v>
      </x:c>
      <x:c r="G3" s="33" t="str">
        <x:v>CNPG policies explicitly reference .141/.142/.143 as J64 control-plane endpoints.</x:v>
      </x:c>
    </x:row>
    <x:row r="4">
      <x:c r="A4" s="33" t="str">
        <x:v>J52SEGDEV-NODES</x:v>
      </x:c>
      <x:c r="B4" s="33" t="str">
        <x:v>NSX Group</x:v>
      </x:c>
      <x:c r="C4" s="33" t="str">
        <x:v>j52seg1opdev</x:v>
      </x:c>
      <x:c r="D4" s="33" t="str">
        <x:v>PROD NODE IPs/CIDRs REQUIRED; package CP examples 1.0.0.161-1.0.0.163</x:v>
      </x:c>
      <x:c r="E4" s="33" t="str">
        <x:v>All J52 application/identity cluster nodes</x:v>
      </x:c>
      <x:c r="F4" s="33" t="str">
        <x:v>TBD - REQUIRED</x:v>
      </x:c>
      <x:c r="G4" s="33" t="str">
        <x:v>CNPG policies explicitly reference .161/.162/.163 as J52 control-plane endpoints.</x:v>
      </x:c>
    </x:row>
    <x:row r="5">
      <x:c r="A5" s="33" t="str">
        <x:v>R01SEGDEV-NODES</x:v>
      </x:c>
      <x:c r="B5" s="33" t="str">
        <x:v>NSX Group</x:v>
      </x:c>
      <x:c r="C5" s="33" t="str">
        <x:v>r01seg1opdev</x:v>
      </x:c>
      <x:c r="D5" s="33" t="str">
        <x:v>PROD NODE IPs/CIDRs REQUIRED</x:v>
      </x:c>
      <x:c r="E5" s="33" t="str">
        <x:v>All R01 application cluster nodes</x:v>
      </x:c>
      <x:c r="F5" s="33" t="str">
        <x:v>TBD - REQUIRED</x:v>
      </x:c>
      <x:c r="G5" s="33" t="str">
        <x:v>Package does not define complete R01 node inventory.</x:v>
      </x:c>
    </x:row>
    <x:row r="6">
      <x:c r="A6" s="33" t="str">
        <x:v>SEG1-ALL-NODES</x:v>
      </x:c>
      <x:c r="B6" s="33" t="str">
        <x:v>NSX Group</x:v>
      </x:c>
      <x:c r="C6" s="33" t="str">
        <x:v>All clusters</x:v>
      </x:c>
      <x:c r="D6" s="33" t="str">
        <x:v>Union of all cluster node groups</x:v>
      </x:c>
      <x:c r="E6" s="33" t="str">
        <x:v>Shared node-to-infrastructure rules</x:v>
      </x:c>
      <x:c r="F6" s="33" t="str">
        <x:v>DERIVED</x:v>
      </x:c>
      <x:c r="G6" s="33" t="str">
        <x:v>Build as group nesting if supported.</x:v>
      </x:c>
    </x:row>
    <x:row r="7">
      <x:c r="A7" s="33" t="str">
        <x:v>SEG1-TRUSTED-USERS</x:v>
      </x:c>
      <x:c r="B7" s="33" t="str">
        <x:v>NSX Group / CIDR</x:v>
      </x:c>
      <x:c r="C7" s="33" t="str">
        <x:v>Segment1</x:v>
      </x:c>
      <x:c r="D7" s="33" t="str">
        <x:v>PROD ADMIN/USER CIDR(S) REQUIRED; package default 1.0.0.0/23</x:v>
      </x:c>
      <x:c r="E7" s="33" t="str">
        <x:v>User/admin sources permitted to ingress</x:v>
      </x:c>
      <x:c r="F7" s="33" t="str">
        <x:v>TBD - REQUIRED</x:v>
      </x:c>
      <x:c r="G7" s="33" t="str">
        <x:v>scripts/_lib/common.sh defaults SEGMENT1_INGRESS_ALLOWED_CIDRS to 1.0.0.0/23.</x:v>
      </x:c>
    </x:row>
    <x:row r="8">
      <x:c r="A8" s="33" t="str">
        <x:v>J64SEGMAN-INGRESS</x:v>
      </x:c>
      <x:c r="B8" s="33" t="str">
        <x:v>VIP</x:v>
      </x:c>
      <x:c r="C8" s="33" t="str">
        <x:v>j64seg1opman</x:v>
      </x:c>
      <x:c r="D8" s="33" t="str">
        <x:v>1.0.0.205</x:v>
      </x:c>
      <x:c r="E8" s="33" t="str">
        <x:v>Management ingress: Rancher, Longhorn, Kiali</x:v>
      </x:c>
      <x:c r="F8" s="33" t="str">
        <x:v>TBD - CONFIRM EXAMPLE</x:v>
      </x:c>
      <x:c r="G8" s="33" t="str">
        <x:v>MetalLB pool 1.0.0.201-1.0.0.210.</x:v>
      </x:c>
    </x:row>
    <x:row r="9">
      <x:c r="A9" s="33" t="str">
        <x:v>J64SEGDEV-INGRESS</x:v>
      </x:c>
      <x:c r="B9" s="33" t="str">
        <x:v>VIP</x:v>
      </x:c>
      <x:c r="C9" s="33" t="str">
        <x:v>j64seg1opdev</x:v>
      </x:c>
      <x:c r="D9" s="33" t="str">
        <x:v>1.0.0.215</x:v>
      </x:c>
      <x:c r="E9" s="33" t="str">
        <x:v>J64 application/identity ingress</x:v>
      </x:c>
      <x:c r="F9" s="33" t="str">
        <x:v>TBD - CONFIRM EXAMPLE</x:v>
      </x:c>
      <x:c r="G9" s="33" t="str">
        <x:v>MetalLB pool 1.0.0.211-1.0.0.220.</x:v>
      </x:c>
    </x:row>
    <x:row r="10">
      <x:c r="A10" s="33" t="str">
        <x:v>J52SEGDEV-INGRESS</x:v>
      </x:c>
      <x:c r="B10" s="33" t="str">
        <x:v>VIP</x:v>
      </x:c>
      <x:c r="C10" s="33" t="str">
        <x:v>j52seg1opdev</x:v>
      </x:c>
      <x:c r="D10" s="33" t="str">
        <x:v>1.0.0.225</x:v>
      </x:c>
      <x:c r="E10" s="33" t="str">
        <x:v>J52 application/identity ingress</x:v>
      </x:c>
      <x:c r="F10" s="33" t="str">
        <x:v>TBD - CONFIRM EXAMPLE</x:v>
      </x:c>
      <x:c r="G10" s="33" t="str">
        <x:v>MetalLB pool 1.0.0.221-1.0.0.230.</x:v>
      </x:c>
    </x:row>
    <x:row r="11">
      <x:c r="A11" s="33" t="str">
        <x:v>R01SEGDEV-INGRESS</x:v>
      </x:c>
      <x:c r="B11" s="33" t="str">
        <x:v>VIP</x:v>
      </x:c>
      <x:c r="C11" s="33" t="str">
        <x:v>r01seg1opdev</x:v>
      </x:c>
      <x:c r="D11" s="33" t="str">
        <x:v>1.0.0.235</x:v>
      </x:c>
      <x:c r="E11" s="33" t="str">
        <x:v>R01 application ingress</x:v>
      </x:c>
      <x:c r="F11" s="33" t="str">
        <x:v>TBD - CONFIRM EXAMPLE</x:v>
      </x:c>
      <x:c r="G11" s="33" t="str">
        <x:v>MetalLB pool 1.0.0.231-1.0.0.240.</x:v>
      </x:c>
    </x:row>
    <x:row r="12">
      <x:c r="A12" s="33" t="str">
        <x:v>J64SEGMAN-EASTWEST</x:v>
      </x:c>
      <x:c r="B12" s="33" t="str">
        <x:v>VIP</x:v>
      </x:c>
      <x:c r="C12" s="33" t="str">
        <x:v>j64seg1opman</x:v>
      </x:c>
      <x:c r="D12" s="33" t="str">
        <x:v>1.0.0.210</x:v>
      </x:c>
      <x:c r="E12" s="33" t="str">
        <x:v>Istio east-west gateway</x:v>
      </x:c>
      <x:c r="F12" s="33" t="str">
        <x:v>TBD - CONFIRM EXAMPLE</x:v>
      </x:c>
      <x:c r="G12" s="33" t="str">
        <x:v>TCP 15443/15012/15017.</x:v>
      </x:c>
    </x:row>
    <x:row r="13">
      <x:c r="A13" s="33" t="str">
        <x:v>J64SEGDEV-EASTWEST</x:v>
      </x:c>
      <x:c r="B13" s="33" t="str">
        <x:v>VIP</x:v>
      </x:c>
      <x:c r="C13" s="33" t="str">
        <x:v>j64seg1opdev</x:v>
      </x:c>
      <x:c r="D13" s="33" t="str">
        <x:v>1.0.0.220</x:v>
      </x:c>
      <x:c r="E13" s="33" t="str">
        <x:v>Istio east-west gateway</x:v>
      </x:c>
      <x:c r="F13" s="33" t="str">
        <x:v>TBD - CONFIRM EXAMPLE</x:v>
      </x:c>
      <x:c r="G13" s="33" t="str">
        <x:v>TCP 15443/15012/15017.</x:v>
      </x:c>
    </x:row>
    <x:row r="14">
      <x:c r="A14" s="33" t="str">
        <x:v>J52SEGDEV-EASTWEST</x:v>
      </x:c>
      <x:c r="B14" s="33" t="str">
        <x:v>VIP</x:v>
      </x:c>
      <x:c r="C14" s="33" t="str">
        <x:v>j52seg1opdev</x:v>
      </x:c>
      <x:c r="D14" s="33" t="str">
        <x:v>1.0.0.230</x:v>
      </x:c>
      <x:c r="E14" s="33" t="str">
        <x:v>Istio east-west gateway</x:v>
      </x:c>
      <x:c r="F14" s="33" t="str">
        <x:v>TBD - CONFIRM EXAMPLE</x:v>
      </x:c>
      <x:c r="G14" s="33" t="str">
        <x:v>TCP 15443/15012/15017.</x:v>
      </x:c>
    </x:row>
    <x:row r="15">
      <x:c r="A15" s="33" t="str">
        <x:v>R01SEGDEV-EASTWEST</x:v>
      </x:c>
      <x:c r="B15" s="33" t="str">
        <x:v>VIP</x:v>
      </x:c>
      <x:c r="C15" s="33" t="str">
        <x:v>r01seg1opdev</x:v>
      </x:c>
      <x:c r="D15" s="33" t="str">
        <x:v>1.0.0.240</x:v>
      </x:c>
      <x:c r="E15" s="33" t="str">
        <x:v>Istio east-west gateway</x:v>
      </x:c>
      <x:c r="F15" s="33" t="str">
        <x:v>TBD - CONFIRM EXAMPLE</x:v>
      </x:c>
      <x:c r="G15" s="33" t="str">
        <x:v>TCP 15443/15012/15017.</x:v>
      </x:c>
    </x:row>
    <x:row r="16">
      <x:c r="A16" s="33" t="str">
        <x:v>J64-PG-REPLICATION</x:v>
      </x:c>
      <x:c r="B16" s="33" t="str">
        <x:v>VIP / FQDN</x:v>
      </x:c>
      <x:c r="C16" s="33" t="str">
        <x:v>j64seg1opdev</x:v>
      </x:c>
      <x:c r="D16" s="33" t="str">
        <x:v>1.0.0.216 / j64seg1opdev-postgres-repl.dev.kube</x:v>
      </x:c>
      <x:c r="E16" s="33" t="str">
        <x:v>PostgreSQL replication endpoint</x:v>
      </x:c>
      <x:c r="F16" s="33" t="str">
        <x:v>TBD - CONFIRM EXAMPLE</x:v>
      </x:c>
      <x:c r="G16" s="33" t="str">
        <x:v>TCP 5432.</x:v>
      </x:c>
    </x:row>
    <x:row r="17">
      <x:c r="A17" s="33" t="str">
        <x:v>J52-PG-REPLICATION</x:v>
      </x:c>
      <x:c r="B17" s="33" t="str">
        <x:v>VIP / FQDN</x:v>
      </x:c>
      <x:c r="C17" s="33" t="str">
        <x:v>j52seg1opdev</x:v>
      </x:c>
      <x:c r="D17" s="33" t="str">
        <x:v>1.0.0.226 / j52seg1opdev-postgres-repl.dev.kube</x:v>
      </x:c>
      <x:c r="E17" s="33" t="str">
        <x:v>PostgreSQL replication endpoint</x:v>
      </x:c>
      <x:c r="F17" s="33" t="str">
        <x:v>TBD - CONFIRM EXAMPLE</x:v>
      </x:c>
      <x:c r="G17" s="33" t="str">
        <x:v>TCP 5432.</x:v>
      </x:c>
    </x:row>
    <x:row r="18">
      <x:c r="A18" s="33" t="str">
        <x:v>SEG1-DNS</x:v>
      </x:c>
      <x:c r="B18" s="33" t="str">
        <x:v>IP Set</x:v>
      </x:c>
      <x:c r="C18" s="33" t="str">
        <x:v>Shared infra</x:v>
      </x:c>
      <x:c r="D18" s="33" t="str">
        <x:v>1.0.1.30, 1.0.1.31</x:v>
      </x:c>
      <x:c r="E18" s="33" t="str">
        <x:v>Primary DNS</x:v>
      </x:c>
      <x:c r="F18" s="33" t="str">
        <x:v>CONFIRM PROD</x:v>
      </x:c>
      <x:c r="G18" s="33" t="str">
        <x:v>fleet-bootstrap.example.env.</x:v>
      </x:c>
    </x:row>
    <x:row r="19">
      <x:c r="A19" s="33" t="str">
        <x:v>JCP-DNS</x:v>
      </x:c>
      <x:c r="B19" s="33" t="str">
        <x:v>IP Set</x:v>
      </x:c>
      <x:c r="C19" s="33" t="str">
        <x:v>Shared infra</x:v>
      </x:c>
      <x:c r="D19" s="33" t="str">
        <x:v>10.22.1.34, 10.22.1.35</x:v>
      </x:c>
      <x:c r="E19" s="33" t="str">
        <x:v>JCP DNS forwarders</x:v>
      </x:c>
      <x:c r="F19" s="33" t="str">
        <x:v>CONFIRM PROD</x:v>
      </x:c>
      <x:c r="G19" s="33" t="str">
        <x:v>fleet-bootstrap.example.env.</x:v>
      </x:c>
    </x:row>
    <x:row r="20">
      <x:c r="A20" s="33" t="str">
        <x:v>SEG1-NTP</x:v>
      </x:c>
      <x:c r="B20" s="33" t="str">
        <x:v>IP</x:v>
      </x:c>
      <x:c r="C20" s="33" t="str">
        <x:v>Shared infra</x:v>
      </x:c>
      <x:c r="D20" s="33" t="str">
        <x:v>1.0.1.34</x:v>
      </x:c>
      <x:c r="E20" s="33" t="str">
        <x:v>NTP</x:v>
      </x:c>
      <x:c r="F20" s="33" t="str">
        <x:v>CONFIRM PROD</x:v>
      </x:c>
      <x:c r="G20" s="33" t="str">
        <x:v>fleet-bootstrap.example.env.</x:v>
      </x:c>
    </x:row>
    <x:row r="21">
      <x:c r="A21" s="33" t="str">
        <x:v>ELASTIC-FLEET</x:v>
      </x:c>
      <x:c r="B21" s="33" t="str">
        <x:v>IP</x:v>
      </x:c>
      <x:c r="C21" s="33" t="str">
        <x:v>Shared infra</x:v>
      </x:c>
      <x:c r="D21" s="33" t="str">
        <x:v>1.0.0.30:8220</x:v>
      </x:c>
      <x:c r="E21" s="33" t="str">
        <x:v>Elastic Fleet server</x:v>
      </x:c>
      <x:c r="F21" s="33" t="str">
        <x:v>CONFIRM PROD</x:v>
      </x:c>
      <x:c r="G21" s="33" t="str">
        <x:v>fleet-bootstrap.example.env.</x:v>
      </x:c>
    </x:row>
    <x:row r="22">
      <x:c r="A22" s="33" t="str">
        <x:v>KUBEHARBOR</x:v>
      </x:c>
      <x:c r="B22" s="33" t="str">
        <x:v>FQDN</x:v>
      </x:c>
      <x:c r="C22" s="33" t="str">
        <x:v>Shared infra</x:v>
      </x:c>
      <x:c r="D22" s="33" t="str">
        <x:v>PROD IP(s) REQUIRED / kubeharbor.dev.kube</x:v>
      </x:c>
      <x:c r="E22" s="33" t="str">
        <x:v>Air-gap image + Helm OCI registry</x:v>
      </x:c>
      <x:c r="F22" s="33" t="str">
        <x:v>TBD - REQUIRED</x:v>
      </x:c>
      <x:c r="G22" s="33" t="str">
        <x:v>IP not included in package.</x:v>
      </x:c>
    </x:row>
    <x:row r="23">
      <x:c r="A23" s="33" t="str">
        <x:v>GITLAB</x:v>
      </x:c>
      <x:c r="B23" s="33" t="str">
        <x:v>FQDN</x:v>
      </x:c>
      <x:c r="C23" s="33" t="str">
        <x:v>Shared infra</x:v>
      </x:c>
      <x:c r="D23" s="33" t="str">
        <x:v>PROD IP(s) REQUIRED / gitlab001.dev.local</x:v>
      </x:c>
      <x:c r="E23" s="33" t="str">
        <x:v>Git/Fleet/GitLab Runner endpoint</x:v>
      </x:c>
      <x:c r="F23" s="33" t="str">
        <x:v>TBD - REQUIRED</x:v>
      </x:c>
      <x:c r="G23" s="33" t="str">
        <x:v>IP not included in package.</x:v>
      </x:c>
    </x:row>
    <x:row r="24">
      <x:c r="A24" s="33" t="str">
        <x:v>RANCHER</x:v>
      </x:c>
      <x:c r="B24" s="33" t="str">
        <x:v>FQDN / VIP</x:v>
      </x:c>
      <x:c r="C24" s="33" t="str">
        <x:v>j64seg1opman</x:v>
      </x:c>
      <x:c r="D24" s="33" t="str">
        <x:v>rancher.dev.kube / 1.0.0.205</x:v>
      </x:c>
      <x:c r="E24" s="33" t="str">
        <x:v>Rancher UI/API/agent endpoint</x:v>
      </x:c>
      <x:c r="F24" s="33" t="str">
        <x:v>TBD - CONFIRM EXAMPLE</x:v>
      </x:c>
      <x:c r="G24" s="33" t="str">
        <x:v>WSS/HTTPS TCP 443.</x:v>
      </x:c>
    </x:row>
    <x:row r="25">
      <x:c r="A25" s="33" t="str">
        <x:v>PROMETHEUS</x:v>
      </x:c>
      <x:c r="B25" s="33" t="str">
        <x:v>FQDN</x:v>
      </x:c>
      <x:c r="C25" s="33" t="str">
        <x:v>j64seg1opman</x:v>
      </x:c>
      <x:c r="D25" s="33" t="str">
        <x:v>PROD IP/VIP REQUIRED / j64seg1opman-prometheus.dev.kube</x:v>
      </x:c>
      <x:c r="E25" s="33" t="str">
        <x:v>Kiali external Prometheus datasource</x:v>
      </x:c>
      <x:c r="F25" s="33" t="str">
        <x:v>TBD - REQUIRED</x:v>
      </x:c>
      <x:c r="G25" s="33" t="str">
        <x:v>Kiali config; address not included.</x:v>
      </x:c>
    </x:row>
    <x:row r="26">
      <x:c r="A26" s="33" t="str">
        <x:v>GRAFANA</x:v>
      </x:c>
      <x:c r="B26" s="33" t="str">
        <x:v>FQDN</x:v>
      </x:c>
      <x:c r="C26" s="33" t="str">
        <x:v>j64seg1opman</x:v>
      </x:c>
      <x:c r="D26" s="33" t="str">
        <x:v>PROD IP/VIP REQUIRED / grafana.dev.kube</x:v>
      </x:c>
      <x:c r="E26" s="33" t="str">
        <x:v>Kiali Grafana integration</x:v>
      </x:c>
      <x:c r="F26" s="33" t="str">
        <x:v>TBD - REQUIRED</x:v>
      </x:c>
      <x:c r="G26" s="33" t="str">
        <x:v>Kiali config; address not included.</x:v>
      </x:c>
    </x:row>
    <x:row r="27">
      <x:c r="A27" s="33" t="str">
        <x:v>KEYCLOAK-CANONICAL</x:v>
      </x:c>
      <x:c r="B27" s="33" t="str">
        <x:v>FQDN</x:v>
      </x:c>
      <x:c r="C27" s="33" t="str">
        <x:v>J64/J52 active site</x:v>
      </x:c>
      <x:c r="D27" s="33" t="str">
        <x:v>opkeycloak.dev.jde.cybercom.ic.gov</x:v>
      </x:c>
      <x:c r="E27" s="33" t="str">
        <x:v>Canonical identity endpoint</x:v>
      </x:c>
      <x:c r="F27" s="33" t="str">
        <x:v>DNS-CONTROLLED</x:v>
      </x:c>
      <x:c r="G27" s="33" t="str">
        <x:v>CNAME switches between J64/J52 ingress; documented TTL 30 seconds.</x:v>
      </x:c>
    </x:row>
    <x:row r="28">
      <x:c r="A28" s="33" t="str">
        <x:v>DEPLOYMENT-CONTROLLER</x:v>
      </x:c>
      <x:c r="B28" s="33" t="str">
        <x:v>NSX Group</x:v>
      </x:c>
      <x:c r="C28" s="33" t="str">
        <x:v>Admin zone</x:v>
      </x:c>
      <x:c r="D28" s="33" t="str">
        <x:v>PROD SOURCE IP/CIDR/GROUP REQUIRED</x:v>
      </x:c>
      <x:c r="E28" s="33" t="str">
        <x:v>Automation/deployment source</x:v>
      </x:c>
      <x:c r="F28" s="33" t="str">
        <x:v>TBD - REQUIRED</x:v>
      </x:c>
      <x:c r="G28" s="33" t="str">
        <x:v>Source IP/group required from operations/networking.</x:v>
      </x:c>
    </x:row>
    <x:row r="29">
      <x:c r="A29" s="33" t="str">
        <x:v>K8S-API-ENDPOINTS</x:v>
      </x:c>
      <x:c r="B29" s="33" t="str">
        <x:v>NSX Group</x:v>
      </x:c>
      <x:c r="C29" s="33" t="str">
        <x:v>All clusters</x:v>
      </x:c>
      <x:c r="D29" s="33" t="str">
        <x:v>PROD API IP/VIP(s) REQUIRED</x:v>
      </x:c>
      <x:c r="E29" s="33" t="str">
        <x:v>Per-cluster Kubernetes API endpoint(s)</x:v>
      </x:c>
      <x:c r="F29" s="33" t="str">
        <x:v>TBD - REQUIRED</x:v>
      </x:c>
      <x:c r="G29" s="33" t="str">
        <x:v>Populate from actual production cluster config.</x:v>
      </x:c>
    </x:row>
    <x:row r="30" ht="15" hidden="0" customHeight="1">
      <x:c r="A30" s="56" t="str">
        <x:v>ADMIN-JUMP</x:v>
      </x:c>
      <x:c r="B30" s="56" t="str">
        <x:v>NSX Group</x:v>
      </x:c>
      <x:c r="C30" s="56" t="str">
        <x:v>Admin zone</x:v>
      </x:c>
      <x:c r="D30" s="56" t="str">
        <x:v>PROD SOURCE IP/CIDR/GROUP REQUIRED</x:v>
      </x:c>
      <x:c r="E30" s="56" t="str">
        <x:v>Admin jump hosts for SSH/API/UI access</x:v>
      </x:c>
      <x:c r="F30" s="56" t="str">
        <x:v>TBD - REQUIRED</x:v>
      </x:c>
      <x:c r="G30" s="56" t="str">
        <x:v>See TBD-29.</x:v>
      </x:c>
    </x:row>
    <x:row r="31" ht="26.399999618530273" hidden="0" customHeight="1">
      <x:c r="A31" s="33" t="str">
        <x:v>KEYCLOAK-CLIENT-NETS</x:v>
      </x:c>
      <x:c r="B31" s="33" t="str">
        <x:v>NSX Group / CIDR</x:v>
      </x:c>
      <x:c r="C31" s="33" t="str">
        <x:v>Segment1 / Clients</x:v>
      </x:c>
      <x:c r="D31" s="33" t="str">
        <x:v>PROD CLIENT/APP CIDR(S) REQUIRED</x:v>
      </x:c>
      <x:c r="E31" s="33" t="str">
        <x:v>Approved Keycloak HTTPS/OIDC client sources</x:v>
      </x:c>
      <x:c r="F31" s="33" t="str">
        <x:v>TBD - REQUIRED</x:v>
      </x:c>
      <x:c r="G31" s="33" t="str">
        <x:v>See TBD-28.</x:v>
      </x:c>
    </x:row>
    <x:row r="32" ht="15" hidden="0" customHeight="1">
      <x:c r="A32" s="56" t="str">
        <x:v>J64SEGMAN-POD-CIDR</x:v>
      </x:c>
      <x:c r="B32" s="56" t="str">
        <x:v>CIDR</x:v>
      </x:c>
      <x:c r="C32" s="56" t="str">
        <x:v>j64seg1opman</x:v>
      </x:c>
      <x:c r="D32" s="56" t="str">
        <x:v>PROD POD CIDR REQUIRED</x:v>
      </x:c>
      <x:c r="E32" s="56" t="str">
        <x:v>Pod network</x:v>
      </x:c>
      <x:c r="F32" s="56" t="str">
        <x:v>TBD - REQUIRED</x:v>
      </x:c>
      <x:c r="G32" s="56" t="str">
        <x:v>See TBD-09.</x:v>
      </x:c>
    </x:row>
    <x:row r="33" ht="15" hidden="0" customHeight="1">
      <x:c r="A33" s="33" t="str">
        <x:v>J64SEGDEV-POD-CIDR</x:v>
      </x:c>
      <x:c r="B33" s="33" t="str">
        <x:v>CIDR</x:v>
      </x:c>
      <x:c r="C33" s="33" t="str">
        <x:v>j64seg1opdev</x:v>
      </x:c>
      <x:c r="D33" s="33" t="str">
        <x:v>PROD POD CIDR REQUIRED</x:v>
      </x:c>
      <x:c r="E33" s="33" t="str">
        <x:v>Pod network</x:v>
      </x:c>
      <x:c r="F33" s="33" t="str">
        <x:v>TBD - REQUIRED</x:v>
      </x:c>
      <x:c r="G33" s="33" t="str">
        <x:v>See TBD-10.</x:v>
      </x:c>
    </x:row>
    <x:row r="34" ht="15" hidden="0" customHeight="1">
      <x:c r="A34" s="56" t="str">
        <x:v>J52SEGDEV-POD-CIDR</x:v>
      </x:c>
      <x:c r="B34" s="56" t="str">
        <x:v>CIDR</x:v>
      </x:c>
      <x:c r="C34" s="56" t="str">
        <x:v>j52seg1opdev</x:v>
      </x:c>
      <x:c r="D34" s="56" t="str">
        <x:v>PROD POD CIDR REQUIRED</x:v>
      </x:c>
      <x:c r="E34" s="56" t="str">
        <x:v>Pod network</x:v>
      </x:c>
      <x:c r="F34" s="56" t="str">
        <x:v>TBD - REQUIRED</x:v>
      </x:c>
      <x:c r="G34" s="56" t="str">
        <x:v>See TBD-11.</x:v>
      </x:c>
    </x:row>
    <x:row r="35" ht="15" hidden="0" customHeight="1">
      <x:c r="A35" s="33" t="str">
        <x:v>R01SEGDEV-POD-CIDR</x:v>
      </x:c>
      <x:c r="B35" s="33" t="str">
        <x:v>CIDR</x:v>
      </x:c>
      <x:c r="C35" s="33" t="str">
        <x:v>r01seg1opdev</x:v>
      </x:c>
      <x:c r="D35" s="33" t="str">
        <x:v>PROD POD CIDR REQUIRED</x:v>
      </x:c>
      <x:c r="E35" s="33" t="str">
        <x:v>Pod network</x:v>
      </x:c>
      <x:c r="F35" s="33" t="str">
        <x:v>TBD - REQUIRED</x:v>
      </x:c>
      <x:c r="G35" s="33" t="str">
        <x:v>See TBD-12.</x:v>
      </x:c>
    </x:row>
    <x:row r="36" ht="15" hidden="0" customHeight="1">
      <x:c r="A36" s="56" t="str">
        <x:v>J64SEGMAN-SVC-CIDR</x:v>
      </x:c>
      <x:c r="B36" s="56" t="str">
        <x:v>CIDR</x:v>
      </x:c>
      <x:c r="C36" s="56" t="str">
        <x:v>j64seg1opman</x:v>
      </x:c>
      <x:c r="D36" s="56" t="str">
        <x:v>PROD SERVICE CIDR REQUIRED</x:v>
      </x:c>
      <x:c r="E36" s="56" t="str">
        <x:v>Kubernetes service network</x:v>
      </x:c>
      <x:c r="F36" s="56" t="str">
        <x:v>TBD - REQUIRED</x:v>
      </x:c>
      <x:c r="G36" s="56" t="str">
        <x:v>See TBD-13.</x:v>
      </x:c>
    </x:row>
    <x:row r="37" ht="15" hidden="0" customHeight="1">
      <x:c r="A37" s="33" t="str">
        <x:v>J64SEGDEV-SVC-CIDR</x:v>
      </x:c>
      <x:c r="B37" s="33" t="str">
        <x:v>CIDR</x:v>
      </x:c>
      <x:c r="C37" s="33" t="str">
        <x:v>j64seg1opdev</x:v>
      </x:c>
      <x:c r="D37" s="33" t="str">
        <x:v>PROD SERVICE CIDR REQUIRED</x:v>
      </x:c>
      <x:c r="E37" s="33" t="str">
        <x:v>Kubernetes service network</x:v>
      </x:c>
      <x:c r="F37" s="33" t="str">
        <x:v>TBD - REQUIRED</x:v>
      </x:c>
      <x:c r="G37" s="33" t="str">
        <x:v>See TBD-14.</x:v>
      </x:c>
    </x:row>
    <x:row r="38" ht="15" hidden="0" customHeight="1">
      <x:c r="A38" s="56" t="str">
        <x:v>J52SEGDEV-SVC-CIDR</x:v>
      </x:c>
      <x:c r="B38" s="56" t="str">
        <x:v>CIDR</x:v>
      </x:c>
      <x:c r="C38" s="56" t="str">
        <x:v>j52seg1opdev</x:v>
      </x:c>
      <x:c r="D38" s="56" t="str">
        <x:v>PROD SERVICE CIDR REQUIRED</x:v>
      </x:c>
      <x:c r="E38" s="56" t="str">
        <x:v>Kubernetes service network</x:v>
      </x:c>
      <x:c r="F38" s="56" t="str">
        <x:v>TBD - REQUIRED</x:v>
      </x:c>
      <x:c r="G38" s="56" t="str">
        <x:v>See TBD-15.</x:v>
      </x:c>
    </x:row>
    <x:row r="39" ht="15" hidden="0" customHeight="1">
      <x:c r="A39" s="33" t="str">
        <x:v>R01SEGDEV-SVC-CIDR</x:v>
      </x:c>
      <x:c r="B39" s="33" t="str">
        <x:v>CIDR</x:v>
      </x:c>
      <x:c r="C39" s="33" t="str">
        <x:v>r01seg1opdev</x:v>
      </x:c>
      <x:c r="D39" s="33" t="str">
        <x:v>PROD SERVICE CIDR REQUIRED</x:v>
      </x:c>
      <x:c r="E39" s="33" t="str">
        <x:v>Kubernetes service network</x:v>
      </x:c>
      <x:c r="F39" s="33" t="str">
        <x:v>TBD - REQUIRED</x:v>
      </x:c>
      <x:c r="G39" s="33" t="str">
        <x:v>See TBD-16.</x:v>
      </x:c>
    </x:row>
    <x:row r="40" ht="15" hidden="0" customHeight="1">
      <x:c r="A40" s="56" t="str">
        <x:v>KEYCLOAK-EXTERNAL-IDP</x:v>
      </x:c>
      <x:c r="B40" s="56" t="str">
        <x:v>NSX Group / FQDN</x:v>
      </x:c>
      <x:c r="C40" s="56" t="str">
        <x:v>External identity</x:v>
      </x:c>
      <x:c r="D40" s="56" t="str">
        <x:v>PROD ENDPOINTS/PORTS IF USED</x:v>
      </x:c>
      <x:c r="E40" s="56" t="str">
        <x:v>AD/LDAP/LDAPS/Kerberos/IdP dependencies</x:v>
      </x:c>
      <x:c r="F40" s="56" t="str">
        <x:v>TBD - CONDITIONAL</x:v>
      </x:c>
      <x:c r="G40" s="56" t="str">
        <x:v>See TBD-41; do not guess ports/endpoints.</x:v>
      </x:c>
    </x:row>
    <x:row r="41" ht="15" hidden="0" customHeight="1">
      <x:c r="A41" s="33" t="str">
        <x:v>PKI-RUNTIME-ENDPOINTS</x:v>
      </x:c>
      <x:c r="B41" s="33" t="str">
        <x:v>NSX Group / FQDN</x:v>
      </x:c>
      <x:c r="C41" s="33" t="str">
        <x:v>Shared security</x:v>
      </x:c>
      <x:c r="D41" s="33" t="str">
        <x:v>PROD ENDPOINTS/PORTS IF USED</x:v>
      </x:c>
      <x:c r="E41" s="33" t="str">
        <x:v>CRL/OCSP/AIA/CA/HSM dependencies</x:v>
      </x:c>
      <x:c r="F41" s="33" t="str">
        <x:v>TBD - CONDITIONAL</x:v>
      </x:c>
      <x:c r="G41" s="33" t="str">
        <x:v>See TBD-42.</x:v>
      </x:c>
    </x:row>
  </x:sheetData>
  <x:conditionalFormatting sqref="F2:F41">
    <x:cfRule type="expression" dxfId="12" priority="1">
      <x:formula>LEFT(F2,3)="TBD"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4bc992000841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8" hidden="0" customWidth="1"/>
    <x:col min="4" max="4" width="10" hidden="0" customWidth="1"/>
    <x:col min="5" max="5" width="22" hidden="0" customWidth="1"/>
    <x:col min="6" max="6" width="30" hidden="0" customWidth="1"/>
    <x:col min="7" max="7" width="35" hidden="0" customWidth="1"/>
    <x:col min="8" max="8" width="44" hidden="0" customWidth="1"/>
  </x:cols>
  <x:sheetData>
    <x:row r="1" ht="34" customHeight="1">
      <x:c r="A1" s="38" t="str">
        <x:v>Service / FQDN</x:v>
      </x:c>
      <x:c r="B1" s="38" t="str">
        <x:v>Cluster</x:v>
      </x:c>
      <x:c r="C1" s="38" t="str">
        <x:v>Destination VIP / Address</x:v>
      </x:c>
      <x:c r="D1" s="38" t="str">
        <x:v>Protocol</x:v>
      </x:c>
      <x:c r="E1" s="38" t="str">
        <x:v>Port(s)</x:v>
      </x:c>
      <x:c r="F1" s="38" t="str">
        <x:v>Expected Source</x:v>
      </x:c>
      <x:c r="G1" s="38" t="str">
        <x:v>Function</x:v>
      </x:c>
      <x:c r="H1" s="38" t="str">
        <x:v>Notes</x:v>
      </x:c>
    </x:row>
    <x:row r="2">
      <x:c r="A2" s="33" t="str">
        <x:v>rancher.dev.kube</x:v>
      </x:c>
      <x:c r="B2" s="33" t="str">
        <x:v>j64seg1opman</x:v>
      </x:c>
      <x:c r="C2" s="33" t="str">
        <x:v>1.0.0.205</x:v>
      </x:c>
      <x:c r="D2" s="33" t="str">
        <x:v>TCP</x:v>
      </x:c>
      <x:c r="E2" s="33" t="str">
        <x:v>443</x:v>
      </x:c>
      <x:c r="F2" s="33" t="str">
        <x:v>Trusted admins + downstream cluster agents</x:v>
      </x:c>
      <x:c r="G2" s="33" t="str">
        <x:v>Rancher UI/API and WSS agent endpoint</x:v>
      </x:c>
      <x:c r="H2" s="33" t="str">
        <x:v>Primary management endpoint.</x:v>
      </x:c>
    </x:row>
    <x:row r="3">
      <x:c r="A3" s="33" t="str">
        <x:v>longhorn-man.dev.kube</x:v>
      </x:c>
      <x:c r="B3" s="33" t="str">
        <x:v>j64seg1opman</x:v>
      </x:c>
      <x:c r="C3" s="33" t="str">
        <x:v>1.0.0.205</x:v>
      </x:c>
      <x:c r="D3" s="33" t="str">
        <x:v>TCP</x:v>
      </x:c>
      <x:c r="E3" s="33" t="str">
        <x:v>443</x:v>
      </x:c>
      <x:c r="F3" s="33" t="str">
        <x:v>Trusted admins</x:v>
      </x:c>
      <x:c r="G3" s="33" t="str">
        <x:v>Longhorn UI</x:v>
      </x:c>
      <x:c r="H3" s="33" t="str">
        <x:v>Package admin UI naming.</x:v>
      </x:c>
    </x:row>
    <x:row r="4">
      <x:c r="A4" s="33" t="str">
        <x:v>kiali-man.dev.kube</x:v>
      </x:c>
      <x:c r="B4" s="33" t="str">
        <x:v>j64seg1opman</x:v>
      </x:c>
      <x:c r="C4" s="33" t="str">
        <x:v>1.0.0.205</x:v>
      </x:c>
      <x:c r="D4" s="33" t="str">
        <x:v>TCP</x:v>
      </x:c>
      <x:c r="E4" s="33" t="str">
        <x:v>443</x:v>
      </x:c>
      <x:c r="F4" s="33" t="str">
        <x:v>Trusted admins</x:v>
      </x:c>
      <x:c r="G4" s="33" t="str">
        <x:v>Kiali UI</x:v>
      </x:c>
      <x:c r="H4" s="33" t="str">
        <x:v>Package admin UI naming.</x:v>
      </x:c>
    </x:row>
    <x:row r="5">
      <x:c r="A5" s="33" t="str">
        <x:v>longhorn-j64.dev.kube</x:v>
      </x:c>
      <x:c r="B5" s="33" t="str">
        <x:v>j64seg1opdev</x:v>
      </x:c>
      <x:c r="C5" s="33" t="str">
        <x:v>1.0.0.215</x:v>
      </x:c>
      <x:c r="D5" s="33" t="str">
        <x:v>TCP</x:v>
      </x:c>
      <x:c r="E5" s="33" t="str">
        <x:v>443</x:v>
      </x:c>
      <x:c r="F5" s="33" t="str">
        <x:v>Trusted admins</x:v>
      </x:c>
      <x:c r="G5" s="33" t="str">
        <x:v>Longhorn UI</x:v>
      </x:c>
      <x:c r="H5" s="33" t="str">
        <x:v>Package admin UI naming.</x:v>
      </x:c>
    </x:row>
    <x:row r="6">
      <x:c r="A6" s="33" t="str">
        <x:v>kiali-j64.dev.kube</x:v>
      </x:c>
      <x:c r="B6" s="33" t="str">
        <x:v>j64seg1opdev</x:v>
      </x:c>
      <x:c r="C6" s="33" t="str">
        <x:v>1.0.0.215</x:v>
      </x:c>
      <x:c r="D6" s="33" t="str">
        <x:v>TCP</x:v>
      </x:c>
      <x:c r="E6" s="33" t="str">
        <x:v>443</x:v>
      </x:c>
      <x:c r="F6" s="33" t="str">
        <x:v>Trusted admins</x:v>
      </x:c>
      <x:c r="G6" s="33" t="str">
        <x:v>Kiali UI</x:v>
      </x:c>
      <x:c r="H6" s="33" t="str">
        <x:v>Package admin UI naming.</x:v>
      </x:c>
    </x:row>
    <x:row r="7">
      <x:c r="A7" s="33" t="str">
        <x:v>opkeycloak.dev.jde.cybercom.ic.gov</x:v>
      </x:c>
      <x:c r="B7" s="33" t="str">
        <x:v>Active J64 or J52</x:v>
      </x:c>
      <x:c r="C7" s="33" t="str">
        <x:v>1.0.0.215 OR 1.0.0.225</x:v>
      </x:c>
      <x:c r="D7" s="33" t="str">
        <x:v>TCP</x:v>
      </x:c>
      <x:c r="E7" s="33" t="str">
        <x:v>443</x:v>
      </x:c>
      <x:c r="F7" s="33" t="str">
        <x:v>Users/apps/identity clients</x:v>
      </x:c>
      <x:c r="G7" s="33" t="str">
        <x:v>Canonical Keycloak HTTPS/OIDC</x:v>
      </x:c>
      <x:c r="H7" s="33" t="str">
        <x:v>Manual DNS CNAME switches ingress target; TTL 30s.</x:v>
      </x:c>
    </x:row>
    <x:row r="8">
      <x:c r="A8" s="33" t="str">
        <x:v>longhorn-j52.dev.kube</x:v>
      </x:c>
      <x:c r="B8" s="33" t="str">
        <x:v>j52seg1opdev</x:v>
      </x:c>
      <x:c r="C8" s="33" t="str">
        <x:v>1.0.0.225</x:v>
      </x:c>
      <x:c r="D8" s="33" t="str">
        <x:v>TCP</x:v>
      </x:c>
      <x:c r="E8" s="33" t="str">
        <x:v>443</x:v>
      </x:c>
      <x:c r="F8" s="33" t="str">
        <x:v>Trusted admins</x:v>
      </x:c>
      <x:c r="G8" s="33" t="str">
        <x:v>Longhorn UI</x:v>
      </x:c>
      <x:c r="H8" s="33" t="str">
        <x:v>Package admin UI naming.</x:v>
      </x:c>
    </x:row>
    <x:row r="9">
      <x:c r="A9" s="33" t="str">
        <x:v>kiali-j52.dev.kube</x:v>
      </x:c>
      <x:c r="B9" s="33" t="str">
        <x:v>j52seg1opdev</x:v>
      </x:c>
      <x:c r="C9" s="33" t="str">
        <x:v>1.0.0.225</x:v>
      </x:c>
      <x:c r="D9" s="33" t="str">
        <x:v>TCP</x:v>
      </x:c>
      <x:c r="E9" s="33" t="str">
        <x:v>443</x:v>
      </x:c>
      <x:c r="F9" s="33" t="str">
        <x:v>Trusted admins</x:v>
      </x:c>
      <x:c r="G9" s="33" t="str">
        <x:v>Kiali UI</x:v>
      </x:c>
      <x:c r="H9" s="33" t="str">
        <x:v>Package admin UI naming.</x:v>
      </x:c>
    </x:row>
    <x:row r="10">
      <x:c r="A10" s="33" t="str">
        <x:v>longhorn-r01.dev.kube</x:v>
      </x:c>
      <x:c r="B10" s="33" t="str">
        <x:v>r01seg1opdev</x:v>
      </x:c>
      <x:c r="C10" s="33" t="str">
        <x:v>1.0.0.235</x:v>
      </x:c>
      <x:c r="D10" s="33" t="str">
        <x:v>TCP</x:v>
      </x:c>
      <x:c r="E10" s="33" t="str">
        <x:v>443</x:v>
      </x:c>
      <x:c r="F10" s="33" t="str">
        <x:v>Trusted admins</x:v>
      </x:c>
      <x:c r="G10" s="33" t="str">
        <x:v>Longhorn UI</x:v>
      </x:c>
      <x:c r="H10" s="33" t="str">
        <x:v>Package admin UI naming.</x:v>
      </x:c>
    </x:row>
    <x:row r="11">
      <x:c r="A11" s="33" t="str">
        <x:v>kiali-r01.dev.kube</x:v>
      </x:c>
      <x:c r="B11" s="33" t="str">
        <x:v>r01seg1opdev</x:v>
      </x:c>
      <x:c r="C11" s="33" t="str">
        <x:v>1.0.0.235</x:v>
      </x:c>
      <x:c r="D11" s="33" t="str">
        <x:v>TCP</x:v>
      </x:c>
      <x:c r="E11" s="33" t="str">
        <x:v>443</x:v>
      </x:c>
      <x:c r="F11" s="33" t="str">
        <x:v>Trusted admins</x:v>
      </x:c>
      <x:c r="G11" s="33" t="str">
        <x:v>Kiali UI</x:v>
      </x:c>
      <x:c r="H11" s="33" t="str">
        <x:v>Package admin UI naming.</x:v>
      </x:c>
    </x:row>
    <x:row r="12">
      <x:c r="A12" s="33" t="str">
        <x:v>j64seg1opdev-postgres-repl.dev.kube</x:v>
      </x:c>
      <x:c r="B12" s="33" t="str">
        <x:v>j64seg1opdev</x:v>
      </x:c>
      <x:c r="C12" s="33" t="str">
        <x:v>1.0.0.216</x:v>
      </x:c>
      <x:c r="D12" s="33" t="str">
        <x:v>TCP</x:v>
      </x:c>
      <x:c r="E12" s="33" t="str">
        <x:v>5432</x:v>
      </x:c>
      <x:c r="F12" s="33" t="str">
        <x:v>J52 identity/CNPG</x:v>
      </x:c>
      <x:c r="G12" s="33" t="str">
        <x:v>PostgreSQL replication endpoint</x:v>
      </x:c>
      <x:c r="H12" s="33" t="str">
        <x:v>Needed for reverse replication/failback.</x:v>
      </x:c>
    </x:row>
    <x:row r="13">
      <x:c r="A13" s="33" t="str">
        <x:v>j52seg1opdev-postgres-repl.dev.kube</x:v>
      </x:c>
      <x:c r="B13" s="33" t="str">
        <x:v>j52seg1opdev</x:v>
      </x:c>
      <x:c r="C13" s="33" t="str">
        <x:v>1.0.0.226</x:v>
      </x:c>
      <x:c r="D13" s="33" t="str">
        <x:v>TCP</x:v>
      </x:c>
      <x:c r="E13" s="33" t="str">
        <x:v>5432</x:v>
      </x:c>
      <x:c r="F13" s="33" t="str">
        <x:v>J64 identity/CNPG</x:v>
      </x:c>
      <x:c r="G13" s="33" t="str">
        <x:v>PostgreSQL replication endpoint</x:v>
      </x:c>
      <x:c r="H13" s="33" t="str">
        <x:v>Normal remote replica target.</x:v>
      </x:c>
    </x:row>
    <x:row r="14">
      <x:c r="A14" s="33" t="str">
        <x:v>Istio east-west gateway</x:v>
      </x:c>
      <x:c r="B14" s="33" t="str">
        <x:v>j64seg1opman</x:v>
      </x:c>
      <x:c r="C14" s="33" t="str">
        <x:v>1.0.0.210</x:v>
      </x:c>
      <x:c r="D14" s="33" t="str">
        <x:v>TCP</x:v>
      </x:c>
      <x:c r="E14" s="33" t="str">
        <x:v>15443, 15012, 15017</x:v>
      </x:c>
      <x:c r="F14" s="33" t="str">
        <x:v>Remote clusters</x:v>
      </x:c>
      <x:c r="G14" s="33" t="str">
        <x:v>Mesh cross-cluster data/control traffic</x:v>
      </x:c>
      <x:c r="H14" s="33" t="str">
        <x:v>No user access.</x:v>
      </x:c>
    </x:row>
    <x:row r="15">
      <x:c r="A15" s="33" t="str">
        <x:v>Istio east-west gateway</x:v>
      </x:c>
      <x:c r="B15" s="33" t="str">
        <x:v>j64seg1opdev</x:v>
      </x:c>
      <x:c r="C15" s="33" t="str">
        <x:v>1.0.0.220</x:v>
      </x:c>
      <x:c r="D15" s="33" t="str">
        <x:v>TCP</x:v>
      </x:c>
      <x:c r="E15" s="33" t="str">
        <x:v>15443, 15012, 15017</x:v>
      </x:c>
      <x:c r="F15" s="33" t="str">
        <x:v>Remote clusters</x:v>
      </x:c>
      <x:c r="G15" s="33" t="str">
        <x:v>Mesh cross-cluster data/control traffic</x:v>
      </x:c>
      <x:c r="H15" s="33" t="str">
        <x:v>No user access.</x:v>
      </x:c>
    </x:row>
    <x:row r="16">
      <x:c r="A16" s="33" t="str">
        <x:v>Istio east-west gateway</x:v>
      </x:c>
      <x:c r="B16" s="33" t="str">
        <x:v>j52seg1opdev</x:v>
      </x:c>
      <x:c r="C16" s="33" t="str">
        <x:v>1.0.0.230</x:v>
      </x:c>
      <x:c r="D16" s="33" t="str">
        <x:v>TCP</x:v>
      </x:c>
      <x:c r="E16" s="33" t="str">
        <x:v>15443, 15012, 15017</x:v>
      </x:c>
      <x:c r="F16" s="33" t="str">
        <x:v>Remote clusters</x:v>
      </x:c>
      <x:c r="G16" s="33" t="str">
        <x:v>Mesh cross-cluster data/control traffic</x:v>
      </x:c>
      <x:c r="H16" s="33" t="str">
        <x:v>No user access.</x:v>
      </x:c>
    </x:row>
    <x:row r="17">
      <x:c r="A17" s="33" t="str">
        <x:v>Istio east-west gateway</x:v>
      </x:c>
      <x:c r="B17" s="33" t="str">
        <x:v>r01seg1opdev</x:v>
      </x:c>
      <x:c r="C17" s="33" t="str">
        <x:v>1.0.0.240</x:v>
      </x:c>
      <x:c r="D17" s="33" t="str">
        <x:v>TCP</x:v>
      </x:c>
      <x:c r="E17" s="33" t="str">
        <x:v>15443, 15012, 15017</x:v>
      </x:c>
      <x:c r="F17" s="33" t="str">
        <x:v>Remote clusters</x:v>
      </x:c>
      <x:c r="G17" s="33" t="str">
        <x:v>Mesh cross-cluster data/control traffic</x:v>
      </x:c>
      <x:c r="H17" s="33" t="str">
        <x:v>No user access.</x:v>
      </x:c>
    </x:row>
  </x:sheetData>
  <x:pageMargins left="0.7" right="0.7" top="0.75" bottom="0.75" header="0.3" footer="0.3"/>
  <x:tableParts count="1">
    <x:tablePart xmlns:r="http://schemas.openxmlformats.org/officeDocument/2006/relationships" r:id="R73045b84a1204c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30" hidden="0" customWidth="1"/>
    <x:col min="5" max="5" width="10" hidden="0" customWidth="1"/>
    <x:col min="6" max="6" width="22" hidden="0" customWidth="1"/>
    <x:col min="7" max="7" width="13" hidden="0" customWidth="1"/>
    <x:col min="8" max="8" width="28" hidden="0" customWidth="1"/>
    <x:col min="9" max="9" width="48" hidden="0" customWidth="1"/>
    <x:col min="10" max="10" width="44" hidden="0" customWidth="1"/>
  </x:cols>
  <x:sheetData>
    <x:row r="1" ht="34" customHeight="1">
      <x:c r="A1" s="38" t="str">
        <x:v>Flow ID</x:v>
      </x:c>
      <x:c r="B1" s="38" t="str">
        <x:v>Component</x:v>
      </x:c>
      <x:c r="C1" s="38" t="str">
        <x:v>Source</x:v>
      </x:c>
      <x:c r="D1" s="38" t="str">
        <x:v>Destination</x:v>
      </x:c>
      <x:c r="E1" s="38" t="str">
        <x:v>Protocol</x:v>
      </x:c>
      <x:c r="F1" s="38" t="str">
        <x:v>Port(s)</x:v>
      </x:c>
      <x:c r="G1" s="38" t="str">
        <x:v>Requirement</x:v>
      </x:c>
      <x:c r="H1" s="38" t="str">
        <x:v>NSX Relevance</x:v>
      </x:c>
      <x:c r="I1" s="38" t="str">
        <x:v>Purpose / Notes</x:v>
      </x:c>
      <x:c r="J1" s="38" t="str">
        <x:v>Package Evidence</x:v>
      </x:c>
    </x:row>
    <x:row r="2">
      <x:c r="A2" s="33" t="str">
        <x:v>INT-01</x:v>
      </x:c>
      <x:c r="B2" s="33" t="str">
        <x:v>Contour/Envoy</x:v>
      </x:c>
      <x:c r="C2" s="33" t="str">
        <x:v>Envoy</x:v>
      </x:c>
      <x:c r="D2" s="33" t="str">
        <x:v>Contour</x:v>
      </x:c>
      <x:c r="E2" s="33" t="str">
        <x:v>TCP</x:v>
      </x:c>
      <x:c r="F2" s="33" t="str">
        <x:v>8001</x:v>
      </x:c>
      <x:c r="G2" s="33" t="str">
        <x:v>Required</x:v>
      </x:c>
      <x:c r="H2" s="33" t="str">
        <x:v>Usually overlay-internal</x:v>
      </x:c>
      <x:c r="I2" s="33" t="str">
        <x:v>Contour xDS control channel.</x:v>
      </x:c>
      <x:c r="J2" s="33" t="str">
        <x:v>scripts/_lib/common.sh</x:v>
      </x:c>
    </x:row>
    <x:row r="3">
      <x:c r="A3" s="33" t="str">
        <x:v>INT-02</x:v>
      </x:c>
      <x:c r="B3" s="33" t="str">
        <x:v>Ingress backends</x:v>
      </x:c>
      <x:c r="C3" s="33" t="str">
        <x:v>Envoy</x:v>
      </x:c>
      <x:c r="D3" s="33" t="str">
        <x:v>Approved backend namespaces</x:v>
      </x:c>
      <x:c r="E3" s="33" t="str">
        <x:v>TCP</x:v>
      </x:c>
      <x:c r="F3" s="33" t="str">
        <x:v>80, 443, 8000, 8080, 8443, 9000, 20001</x:v>
      </x:c>
      <x:c r="G3" s="33" t="str">
        <x:v>Required</x:v>
      </x:c>
      <x:c r="H3" s="33" t="str">
        <x:v>Usually overlay-internal</x:v>
      </x:c>
      <x:c r="I3" s="33" t="str">
        <x:v>Package backend egress allow-list; 20001 supports Kiali.</x:v>
      </x:c>
      <x:c r="J3" s="33" t="str">
        <x:v>scripts/_lib/common.sh</x:v>
      </x:c>
    </x:row>
    <x:row r="4">
      <x:c r="A4" s="33" t="str">
        <x:v>INT-03</x:v>
      </x:c>
      <x:c r="B4" s="33" t="str">
        <x:v>Monitoring</x:v>
      </x:c>
      <x:c r="C4" s="33" t="str">
        <x:v>Monitoring agents</x:v>
      </x:c>
      <x:c r="D4" s="33" t="str">
        <x:v>Contour/Envoy</x:v>
      </x:c>
      <x:c r="E4" s="33" t="str">
        <x:v>TCP</x:v>
      </x:c>
      <x:c r="F4" s="33" t="str">
        <x:v>8000, 8002, 9001</x:v>
      </x:c>
      <x:c r="G4" s="33" t="str">
        <x:v>Required</x:v>
      </x:c>
      <x:c r="H4" s="33" t="str">
        <x:v>Usually overlay-internal</x:v>
      </x:c>
      <x:c r="I4" s="33" t="str">
        <x:v>Metrics/admin scrape paths defined in package policies.</x:v>
      </x:c>
      <x:c r="J4" s="33" t="str">
        <x:v>monitoring NetworkPolicy manifests</x:v>
      </x:c>
    </x:row>
    <x:row r="5">
      <x:c r="A5" s="33" t="str">
        <x:v>INT-04</x:v>
      </x:c>
      <x:c r="B5" s="33" t="str">
        <x:v>Monitoring</x:v>
      </x:c>
      <x:c r="C5" s="33" t="str">
        <x:v>Monitoring agents</x:v>
      </x:c>
      <x:c r="D5" s="33" t="str">
        <x:v>Keycloak</x:v>
      </x:c>
      <x:c r="E5" s="33" t="str">
        <x:v>TCP</x:v>
      </x:c>
      <x:c r="F5" s="33" t="str">
        <x:v>9000</x:v>
      </x:c>
      <x:c r="G5" s="33" t="str">
        <x:v>Required</x:v>
      </x:c>
      <x:c r="H5" s="33" t="str">
        <x:v>Usually overlay-internal</x:v>
      </x:c>
      <x:c r="I5" s="33" t="str">
        <x:v>Keycloak health/management metrics path.</x:v>
      </x:c>
      <x:c r="J5" s="33" t="str">
        <x:v>Keycloak/monitoring NetworkPolicy manifests</x:v>
      </x:c>
    </x:row>
    <x:row r="6">
      <x:c r="A6" s="33" t="str">
        <x:v>INT-05</x:v>
      </x:c>
      <x:c r="B6" s="33" t="str">
        <x:v>Monitoring</x:v>
      </x:c>
      <x:c r="C6" s="33" t="str">
        <x:v>Monitoring agents</x:v>
      </x:c>
      <x:c r="D6" s="33" t="str">
        <x:v>PostgreSQL metrics</x:v>
      </x:c>
      <x:c r="E6" s="33" t="str">
        <x:v>TCP</x:v>
      </x:c>
      <x:c r="F6" s="33" t="str">
        <x:v>9187</x:v>
      </x:c>
      <x:c r="G6" s="33" t="str">
        <x:v>Required</x:v>
      </x:c>
      <x:c r="H6" s="33" t="str">
        <x:v>Usually overlay-internal</x:v>
      </x:c>
      <x:c r="I6" s="33" t="str">
        <x:v>PostgreSQL metrics.</x:v>
      </x:c>
      <x:c r="J6" s="33" t="str">
        <x:v>CNPG/monitoring NetworkPolicy manifests</x:v>
      </x:c>
    </x:row>
    <x:row r="7">
      <x:c r="A7" s="33" t="str">
        <x:v>INT-06</x:v>
      </x:c>
      <x:c r="B7" s="33" t="str">
        <x:v>Monitoring</x:v>
      </x:c>
      <x:c r="C7" s="33" t="str">
        <x:v>Prometheus/agents</x:v>
      </x:c>
      <x:c r="D7" s="33" t="str">
        <x:v>kube-state-metrics</x:v>
      </x:c>
      <x:c r="E7" s="33" t="str">
        <x:v>TCP</x:v>
      </x:c>
      <x:c r="F7" s="33" t="str">
        <x:v>8080</x:v>
      </x:c>
      <x:c r="G7" s="33" t="str">
        <x:v>Required</x:v>
      </x:c>
      <x:c r="H7" s="33" t="str">
        <x:v>Usually overlay-internal</x:v>
      </x:c>
      <x:c r="I7" s="33" t="str">
        <x:v>Kubernetes object-state metrics.</x:v>
      </x:c>
      <x:c r="J7" s="33" t="str">
        <x:v>kube-state-metrics bundle</x:v>
      </x:c>
    </x:row>
    <x:row r="8">
      <x:c r="A8" s="33" t="str">
        <x:v>INT-07</x:v>
      </x:c>
      <x:c r="B8" s="33" t="str">
        <x:v>GitLab Runner</x:v>
      </x:c>
      <x:c r="C8" s="33" t="str">
        <x:v>Monitoring/client</x:v>
      </x:c>
      <x:c r="D8" s="33" t="str">
        <x:v>GitLab Runner</x:v>
      </x:c>
      <x:c r="E8" s="33" t="str">
        <x:v>TCP</x:v>
      </x:c>
      <x:c r="F8" s="33" t="str">
        <x:v>9252</x:v>
      </x:c>
      <x:c r="G8" s="33" t="str">
        <x:v>Conditional</x:v>
      </x:c>
      <x:c r="H8" s="33" t="str">
        <x:v>Usually overlay-internal</x:v>
      </x:c>
      <x:c r="I8" s="33" t="str">
        <x:v>Runner metrics endpoint.</x:v>
      </x:c>
      <x:c r="J8" s="33" t="str">
        <x:v>fleet/bundles/72-gitlab-runner/values.yaml</x:v>
      </x:c>
    </x:row>
    <x:row r="9">
      <x:c r="A9" s="33" t="str">
        <x:v>INT-08</x:v>
      </x:c>
      <x:c r="B9" s="33" t="str">
        <x:v>Kiali</x:v>
      </x:c>
      <x:c r="C9" s="33" t="str">
        <x:v>Ingress / clients</x:v>
      </x:c>
      <x:c r="D9" s="33" t="str">
        <x:v>Kiali</x:v>
      </x:c>
      <x:c r="E9" s="33" t="str">
        <x:v>TCP</x:v>
      </x:c>
      <x:c r="F9" s="33" t="str">
        <x:v>20001</x:v>
      </x:c>
      <x:c r="G9" s="33" t="str">
        <x:v>Required</x:v>
      </x:c>
      <x:c r="H9" s="33" t="str">
        <x:v>Usually overlay-internal</x:v>
      </x:c>
      <x:c r="I9" s="33" t="str">
        <x:v>Kiali server/UI backend port.</x:v>
      </x:c>
      <x:c r="J9" s="33" t="str">
        <x:v>Kiali bundle values/policies</x:v>
      </x:c>
    </x:row>
    <x:row r="10">
      <x:c r="A10" s="33" t="str">
        <x:v>INT-09</x:v>
      </x:c>
      <x:c r="B10" s="33" t="str">
        <x:v>Kiali</x:v>
      </x:c>
      <x:c r="C10" s="33" t="str">
        <x:v>Monitoring</x:v>
      </x:c>
      <x:c r="D10" s="33" t="str">
        <x:v>Kiali metrics</x:v>
      </x:c>
      <x:c r="E10" s="33" t="str">
        <x:v>TCP</x:v>
      </x:c>
      <x:c r="F10" s="33" t="str">
        <x:v>9090</x:v>
      </x:c>
      <x:c r="G10" s="33" t="str">
        <x:v>Conditional</x:v>
      </x:c>
      <x:c r="H10" s="33" t="str">
        <x:v>Usually overlay-internal</x:v>
      </x:c>
      <x:c r="I10" s="33" t="str">
        <x:v>Kiali metrics.</x:v>
      </x:c>
      <x:c r="J10" s="33" t="str">
        <x:v>Kiali bundle values/policies</x:v>
      </x:c>
    </x:row>
    <x:row r="11">
      <x:c r="A11" s="33" t="str">
        <x:v>INT-10</x:v>
      </x:c>
      <x:c r="B11" s="33" t="str">
        <x:v>Keycloak</x:v>
      </x:c>
      <x:c r="C11" s="33" t="str">
        <x:v>Keycloak pods</x:v>
      </x:c>
      <x:c r="D11" s="33" t="str">
        <x:v>Keycloak peers</x:v>
      </x:c>
      <x:c r="E11" s="33" t="str">
        <x:v>TCP</x:v>
      </x:c>
      <x:c r="F11" s="33" t="str">
        <x:v>7800, 57800</x:v>
      </x:c>
      <x:c r="G11" s="33" t="str">
        <x:v>Required</x:v>
      </x:c>
      <x:c r="H11" s="33" t="str">
        <x:v>Usually overlay-internal</x:v>
      </x:c>
      <x:c r="I11" s="33" t="str">
        <x:v>Keycloak cluster/cache peer communication.</x:v>
      </x:c>
      <x:c r="J11" s="33" t="str">
        <x:v>Keycloak NetworkPolicy manifests</x:v>
      </x:c>
    </x:row>
    <x:row r="12">
      <x:c r="A12" s="33" t="str">
        <x:v>INT-11</x:v>
      </x:c>
      <x:c r="B12" s="33" t="str">
        <x:v>Keycloak/CNPG</x:v>
      </x:c>
      <x:c r="C12" s="33" t="str">
        <x:v>Keycloak</x:v>
      </x:c>
      <x:c r="D12" s="33" t="str">
        <x:v>PgBouncer/PostgreSQL</x:v>
      </x:c>
      <x:c r="E12" s="33" t="str">
        <x:v>TCP</x:v>
      </x:c>
      <x:c r="F12" s="33" t="str">
        <x:v>5432</x:v>
      </x:c>
      <x:c r="G12" s="33" t="str">
        <x:v>Required</x:v>
      </x:c>
      <x:c r="H12" s="33" t="str">
        <x:v>Usually overlay-internal</x:v>
      </x:c>
      <x:c r="I12" s="33" t="str">
        <x:v>Identity database connectivity.</x:v>
      </x:c>
      <x:c r="J12" s="33" t="str">
        <x:v>Keycloak/CNPG NetworkPolicy manifests</x:v>
      </x:c>
    </x:row>
    <x:row r="13">
      <x:c r="A13" s="33" t="str">
        <x:v>INT-12</x:v>
      </x:c>
      <x:c r="B13" s="33" t="str">
        <x:v>CNPG</x:v>
      </x:c>
      <x:c r="C13" s="33" t="str">
        <x:v>CNPG operator</x:v>
      </x:c>
      <x:c r="D13" s="33" t="str">
        <x:v>CNPG instance manager</x:v>
      </x:c>
      <x:c r="E13" s="33" t="str">
        <x:v>TCP</x:v>
      </x:c>
      <x:c r="F13" s="33" t="str">
        <x:v>8000</x:v>
      </x:c>
      <x:c r="G13" s="33" t="str">
        <x:v>Required</x:v>
      </x:c>
      <x:c r="H13" s="33" t="str">
        <x:v>Usually overlay-internal</x:v>
      </x:c>
      <x:c r="I13" s="33" t="str">
        <x:v>CloudNativePG instance-manager/status API.</x:v>
      </x:c>
      <x:c r="J13" s="33" t="str">
        <x:v>CNPG NetworkPolicy manifests</x:v>
      </x:c>
    </x:row>
    <x:row r="14">
      <x:c r="A14" s="33" t="str">
        <x:v>INT-13</x:v>
      </x:c>
      <x:c r="B14" s="33" t="str">
        <x:v>CNPG</x:v>
      </x:c>
      <x:c r="C14" s="33" t="str">
        <x:v>Monitoring</x:v>
      </x:c>
      <x:c r="D14" s="33" t="str">
        <x:v>PostgreSQL metrics</x:v>
      </x:c>
      <x:c r="E14" s="33" t="str">
        <x:v>TCP</x:v>
      </x:c>
      <x:c r="F14" s="33" t="str">
        <x:v>9187</x:v>
      </x:c>
      <x:c r="G14" s="33" t="str">
        <x:v>Required</x:v>
      </x:c>
      <x:c r="H14" s="33" t="str">
        <x:v>Usually overlay-internal</x:v>
      </x:c>
      <x:c r="I14" s="33" t="str">
        <x:v>Database metrics.</x:v>
      </x:c>
      <x:c r="J14" s="33" t="str">
        <x:v>CNPG NetworkPolicy manifests</x:v>
      </x:c>
    </x:row>
    <x:row r="15">
      <x:c r="A15" s="33" t="str">
        <x:v>INT-14</x:v>
      </x:c>
      <x:c r="B15" s="33" t="str">
        <x:v>CNPG</x:v>
      </x:c>
      <x:c r="C15" s="33" t="str">
        <x:v>CNPG pods</x:v>
      </x:c>
      <x:c r="D15" s="33" t="str">
        <x:v>Kubernetes API Service</x:v>
      </x:c>
      <x:c r="E15" s="33" t="str">
        <x:v>TCP</x:v>
      </x:c>
      <x:c r="F15" s="33" t="str">
        <x:v>443</x:v>
      </x:c>
      <x:c r="G15" s="33" t="str">
        <x:v>Required</x:v>
      </x:c>
      <x:c r="H15" s="33" t="str">
        <x:v>Overlay/service-CIDR dependent</x:v>
      </x:c>
      <x:c r="I15" s="33" t="str">
        <x:v>J64 policy references service 10.94.0.1:443; J52 references 10.96.0.1:443.</x:v>
      </x:c>
      <x:c r="J15" s="33" t="str">
        <x:v>fleet/bundles/51-postgresql-* network policies</x:v>
      </x:c>
    </x:row>
    <x:row r="16">
      <x:c r="A16" s="33" t="str">
        <x:v>INT-15</x:v>
      </x:c>
      <x:c r="B16" s="33" t="str">
        <x:v>CNPG</x:v>
      </x:c>
      <x:c r="C16" s="33" t="str">
        <x:v>CNPG pods</x:v>
      </x:c>
      <x:c r="D16" s="33" t="str">
        <x:v>J64 Kubernetes API endpoints</x:v>
      </x:c>
      <x:c r="E16" s="33" t="str">
        <x:v>TCP</x:v>
      </x:c>
      <x:c r="F16" s="33" t="str">
        <x:v>6443</x:v>
      </x:c>
      <x:c r="G16" s="33" t="str">
        <x:v>Required</x:v>
      </x:c>
      <x:c r="H16" s="33" t="str">
        <x:v>Only if NSX sees pod→node path</x:v>
      </x:c>
      <x:c r="I16" s="33" t="str">
        <x:v>Explicit J64 examples: 1.0.0.141, .142, .143.</x:v>
      </x:c>
      <x:c r="J16" s="33" t="str">
        <x:v>fleet/bundles/51-postgresql-ha-resources/kubernetes-api-networkpolicy.yaml</x:v>
      </x:c>
    </x:row>
    <x:row r="17">
      <x:c r="A17" s="33" t="str">
        <x:v>INT-16</x:v>
      </x:c>
      <x:c r="B17" s="33" t="str">
        <x:v>CNPG</x:v>
      </x:c>
      <x:c r="C17" s="33" t="str">
        <x:v>CNPG pods</x:v>
      </x:c>
      <x:c r="D17" s="33" t="str">
        <x:v>J52 Kubernetes API endpoints</x:v>
      </x:c>
      <x:c r="E17" s="33" t="str">
        <x:v>TCP</x:v>
      </x:c>
      <x:c r="F17" s="33" t="str">
        <x:v>6443</x:v>
      </x:c>
      <x:c r="G17" s="33" t="str">
        <x:v>Required</x:v>
      </x:c>
      <x:c r="H17" s="33" t="str">
        <x:v>Only if NSX sees pod→node path</x:v>
      </x:c>
      <x:c r="I17" s="33" t="str">
        <x:v>Explicit J52 examples: 1.0.0.161, .162, .163.</x:v>
      </x:c>
      <x:c r="J17" s="33" t="str">
        <x:v>fleet/bundles/51-postgresql-replica/chart/templates/networkpolicies.yaml</x:v>
      </x:c>
    </x:row>
    <x:row r="18">
      <x:c r="A18" s="33" t="str">
        <x:v>LH-01</x:v>
      </x:c>
      <x:c r="B18" s="33" t="str">
        <x:v>Longhorn V1</x:v>
      </x:c>
      <x:c r="C18" s="33" t="str">
        <x:v>Longhorn components</x:v>
      </x:c>
      <x:c r="D18" s="33" t="str">
        <x:v>Longhorn manager</x:v>
      </x:c>
      <x:c r="E18" s="33" t="str">
        <x:v>TCP</x:v>
      </x:c>
      <x:c r="F18" s="33" t="str">
        <x:v>9500-9503</x:v>
      </x:c>
      <x:c r="G18" s="33" t="str">
        <x:v>Required</x:v>
      </x:c>
      <x:c r="H18" s="33" t="str">
        <x:v>Conditional at NSX layer</x:v>
      </x:c>
      <x:c r="I18" s="33" t="str">
        <x:v>Longhorn manager APIs/webhooks; package uses Longhorn v1 data engine.</x:v>
      </x:c>
      <x:c r="J18" s="33" t="str">
        <x:v>Official Longhorn 1.12.1 networking; package v1DataEngine=true</x:v>
      </x:c>
    </x:row>
    <x:row r="19">
      <x:c r="A19" s="33" t="str">
        <x:v>LH-02</x:v>
      </x:c>
      <x:c r="B19" s="33" t="str">
        <x:v>Longhorn V1</x:v>
      </x:c>
      <x:c r="C19" s="33" t="str">
        <x:v>Longhorn components</x:v>
      </x:c>
      <x:c r="D19" s="33" t="str">
        <x:v>Instance manager</x:v>
      </x:c>
      <x:c r="E19" s="33" t="str">
        <x:v>TCP</x:v>
      </x:c>
      <x:c r="F19" s="33" t="str">
        <x:v>8500-8503</x:v>
      </x:c>
      <x:c r="G19" s="33" t="str">
        <x:v>Required</x:v>
      </x:c>
      <x:c r="H19" s="33" t="str">
        <x:v>Conditional at NSX layer</x:v>
      </x:c>
      <x:c r="I19" s="33" t="str">
        <x:v>Longhorn V1 instance-manager service ports. 8504 is V2/SPDK and is not required.</x:v>
      </x:c>
      <x:c r="J19" s="33" t="str">
        <x:v>Official Longhorn 1.12.1 networking; v2DataEngine=false</x:v>
      </x:c>
    </x:row>
    <x:row r="20">
      <x:c r="A20" s="33" t="str">
        <x:v>LH-03</x:v>
      </x:c>
      <x:c r="B20" s="33" t="str">
        <x:v>Longhorn V1</x:v>
      </x:c>
      <x:c r="C20" s="33" t="str">
        <x:v>Longhorn instance managers</x:v>
      </x:c>
      <x:c r="D20" s="33" t="str">
        <x:v>Longhorn instance managers</x:v>
      </x:c>
      <x:c r="E20" s="33" t="str">
        <x:v>TCP</x:v>
      </x:c>
      <x:c r="F20" s="33" t="str">
        <x:v>10000-30000</x:v>
      </x:c>
      <x:c r="G20" s="33" t="str">
        <x:v>Required</x:v>
      </x:c>
      <x:c r="H20" s="33" t="str">
        <x:v>Conditional at NSX layer</x:v>
      </x:c>
      <x:c r="I20" s="33" t="str">
        <x:v>Data-plane instance-manager interconnect.</x:v>
      </x:c>
      <x:c r="J20" s="33" t="str">
        <x:v>Official Longhorn 1.12.1 networking</x:v>
      </x:c>
    </x:row>
    <x:row r="21">
      <x:c r="A21" s="33" t="str">
        <x:v>LH-04</x:v>
      </x:c>
      <x:c r="B21" s="33" t="str">
        <x:v>Longhorn V1</x:v>
      </x:c>
      <x:c r="C21" s="33" t="str">
        <x:v>Cluster nodes</x:v>
      </x:c>
      <x:c r="D21" s="33" t="str">
        <x:v>Longhorn instance manager</x:v>
      </x:c>
      <x:c r="E21" s="33" t="str">
        <x:v>TCP</x:v>
      </x:c>
      <x:c r="F21" s="33" t="str">
        <x:v>3260</x:v>
      </x:c>
      <x:c r="G21" s="33" t="str">
        <x:v>Required</x:v>
      </x:c>
      <x:c r="H21" s="33" t="str">
        <x:v>Potential node→pod NSX relevance</x:v>
      </x:c>
      <x:c r="I21" s="33" t="str">
        <x:v>iSCSI data path.</x:v>
      </x:c>
      <x:c r="J21" s="33" t="str">
        <x:v>Official Longhorn 1.12.1 networking</x:v>
      </x:c>
    </x:row>
    <x:row r="22">
      <x:c r="A22" s="33" t="str">
        <x:v>LH-05</x:v>
      </x:c>
      <x:c r="B22" s="33" t="str">
        <x:v>Longhorn RWX</x:v>
      </x:c>
      <x:c r="C22" s="33" t="str">
        <x:v>Cluster nodes</x:v>
      </x:c>
      <x:c r="D22" s="33" t="str">
        <x:v>Longhorn share manager</x:v>
      </x:c>
      <x:c r="E22" s="33" t="str">
        <x:v>TCP</x:v>
      </x:c>
      <x:c r="F22" s="33" t="str">
        <x:v>2049</x:v>
      </x:c>
      <x:c r="G22" s="33" t="str">
        <x:v>Conditional</x:v>
      </x:c>
      <x:c r="H22" s="33" t="str">
        <x:v>Potential node→pod NSX relevance</x:v>
      </x:c>
      <x:c r="I22" s="33" t="str">
        <x:v>NFS for RWX volumes; open only if RWX is used.</x:v>
      </x:c>
      <x:c r="J22" s="33" t="str">
        <x:v>Official Longhorn 1.12.1 networking</x:v>
      </x:c>
    </x:row>
    <x:row r="23">
      <x:c r="A23" s="33" t="str">
        <x:v>LH-06</x:v>
      </x:c>
      <x:c r="B23" s="33" t="str">
        <x:v>Longhorn Backing Image</x:v>
      </x:c>
      <x:c r="C23" s="33" t="str">
        <x:v>Longhorn components</x:v>
      </x:c>
      <x:c r="D23" s="33" t="str">
        <x:v>Backing-image manager</x:v>
      </x:c>
      <x:c r="E23" s="33" t="str">
        <x:v>TCP</x:v>
      </x:c>
      <x:c r="F23" s="33" t="str">
        <x:v>30001-31000</x:v>
      </x:c>
      <x:c r="G23" s="33" t="str">
        <x:v>Conditional</x:v>
      </x:c>
      <x:c r="H23" s="33" t="str">
        <x:v>Conditional at NSX layer</x:v>
      </x:c>
      <x:c r="I23" s="33" t="str">
        <x:v>Backing-image manager range; open only if feature is used.</x:v>
      </x:c>
      <x:c r="J23" s="33" t="str">
        <x:v>Official Longhorn 1.12.1 networking</x:v>
      </x:c>
    </x:row>
    <x:row r="24">
      <x:c r="A24" s="33" t="str">
        <x:v>LH-07</x:v>
      </x:c>
      <x:c r="B24" s="33" t="str">
        <x:v>Longhorn Backing Image</x:v>
      </x:c>
      <x:c r="C24" s="33" t="str">
        <x:v>Longhorn components</x:v>
      </x:c>
      <x:c r="D24" s="33" t="str">
        <x:v>Backing image/data source</x:v>
      </x:c>
      <x:c r="E24" s="33" t="str">
        <x:v>TCP</x:v>
      </x:c>
      <x:c r="F24" s="33" t="str">
        <x:v>8000, 8002</x:v>
      </x:c>
      <x:c r="G24" s="33" t="str">
        <x:v>Conditional</x:v>
      </x:c>
      <x:c r="H24" s="33" t="str">
        <x:v>Conditional at NSX layer</x:v>
      </x:c>
      <x:c r="I24" s="33" t="str">
        <x:v>Backing image/data source operations.</x:v>
      </x:c>
      <x:c r="J24" s="33" t="str">
        <x:v>Official Longhorn 1.12.1 networking</x:v>
      </x:c>
    </x:row>
    <x:row r="25">
      <x:c r="A25" s="33" t="str">
        <x:v>DNS-INT</x:v>
      </x:c>
      <x:c r="B25" s="33" t="str">
        <x:v>CoreDNS</x:v>
      </x:c>
      <x:c r="C25" s="33" t="str">
        <x:v>Pods</x:v>
      </x:c>
      <x:c r="D25" s="33" t="str">
        <x:v>CoreDNS service/pods</x:v>
      </x:c>
      <x:c r="E25" s="33" t="str">
        <x:v>UDP/TCP</x:v>
      </x:c>
      <x:c r="F25" s="33" t="str">
        <x:v>53</x:v>
      </x:c>
      <x:c r="G25" s="33" t="str">
        <x:v>Required</x:v>
      </x:c>
      <x:c r="H25" s="33" t="str">
        <x:v>Usually overlay-internal</x:v>
      </x:c>
      <x:c r="I25" s="33" t="str">
        <x:v>Cluster-internal DNS; external forwarding is listed separately.</x:v>
      </x:c>
      <x:c r="J25" s="33" t="str">
        <x:v>Kubernetes/CoreDNS behavior + package DNS 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8539465122a04f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52" hidden="0" customWidth="1"/>
    <x:col min="4" max="4" width="28" hidden="0" customWidth="1"/>
    <x:col min="5" max="5" width="52" hidden="0" customWidth="1"/>
    <x:col min="6" max="6" width="20" hidden="0" customWidth="1"/>
  </x:cols>
  <x:sheetData>
    <x:row r="1" ht="34" customHeight="1">
      <x:c r="A1" s="38" t="str">
        <x:v>Priority</x:v>
      </x:c>
      <x:c r="B1" s="38" t="str">
        <x:v>Open Item / Decision</x:v>
      </x:c>
      <x:c r="C1" s="38" t="str">
        <x:v>Why It Matters to NSX Policy</x:v>
      </x:c>
      <x:c r="D1" s="38" t="str">
        <x:v>Owner / Input Needed</x:v>
      </x:c>
      <x:c r="E1" s="38" t="str">
        <x:v>Recommended Disposition</x:v>
      </x:c>
      <x:c r="F1" s="53" t="str">
        <x:v>TBD Input IDs</x:v>
      </x:c>
    </x:row>
    <x:row r="2">
      <x:c r="A2" s="33" t="str">
        <x:v>BLOCKER</x:v>
      </x:c>
      <x:c r="B2" s="33" t="str">
        <x:v>Confirm actual production node IPs/subnets for all four clusters.</x:v>
      </x:c>
      <x:c r="C2" s="33" t="str">
        <x:v>Main intra-cluster RKE2, MetalLB, admin, registry, DNS/NTP and agent rules require exact group membership.</x:v>
      </x:c>
      <x:c r="D2" s="33" t="str">
        <x:v>Platform + Network</x:v>
      </x:c>
      <x:c r="E2" s="33" t="str">
        <x:v>Populate J64SEGMAN/J64SEGDEV/J52SEGDEV/R01SEGDEV NSX groups before enforcement.</x:v>
      </x:c>
      <x:c r="F2" s="32" t="str">
        <x:v>TBD-01–04</x:v>
      </x:c>
    </x:row>
    <x:row r="3">
      <x:c r="A3" s="33" t="str">
        <x:v>BLOCKER</x:v>
      </x:c>
      <x:c r="B3" s="33" t="str">
        <x:v>Confirm per-cluster Kubernetes API endpoint IP/VIP.</x:v>
      </x:c>
      <x:c r="C3" s="33" t="str">
        <x:v>Admin TCP/6443 and any direct management-plane API rules cannot be finalized without endpoints.</x:v>
      </x:c>
      <x:c r="D3" s="33" t="str">
        <x:v>Platform</x:v>
      </x:c>
      <x:c r="E3" s="33" t="str">
        <x:v>Create K8S-API-ENDPOINTS object set from production RKE2 configs.</x:v>
      </x:c>
      <x:c r="F3" s="32" t="str">
        <x:v>TBD-05–08</x:v>
      </x:c>
    </x:row>
    <x:row r="4">
      <x:c r="A4" s="33" t="str">
        <x:v>BLOCKER</x:v>
      </x:c>
      <x:c r="B4" s="33" t="str">
        <x:v>Confirm package example VIPs/IPs are the actual production assignments.</x:v>
      </x:c>
      <x:c r="C4" s="33" t="str">
        <x:v>Architecture documentation states IP addresses are examples and may not be actual production IPs.</x:v>
      </x:c>
      <x:c r="D4" s="33" t="str">
        <x:v>Platform + Network</x:v>
      </x:c>
      <x:c r="E4" s="33" t="str">
        <x:v>Validate every VIP/object in Address Objects before implementing policy.</x:v>
      </x:c>
      <x:c r="F4" s="32" t="str">
        <x:v>TBD-17–26, TBD-35–38</x:v>
      </x:c>
    </x:row>
    <x:row r="5">
      <x:c r="A5" s="33" t="str">
        <x:v>HIGH</x:v>
      </x:c>
      <x:c r="B5" s="33" t="str">
        <x:v>Confirm the actual RKE2 CNI and encapsulation.</x:v>
      </x:c>
      <x:c r="C5" s="33" t="str">
        <x:v>UDP/8472 and TCP/9099 are Canal baseline ports; a different CNI changes transport requirements.</x:v>
      </x:c>
      <x:c r="D5" s="33" t="str">
        <x:v>Platform</x:v>
      </x:c>
      <x:c r="E5" s="33" t="str">
        <x:v>If Canal is confirmed, retain RKE2-07/08; otherwise replace with actual CNI requirements.</x:v>
      </x:c>
      <x:c r="F5" s="32" t="str">
        <x:v>TBD-39</x:v>
      </x:c>
    </x:row>
    <x:row r="6">
      <x:c r="A6" s="33" t="str">
        <x:v>HIGH</x:v>
      </x:c>
      <x:c r="B6" s="33" t="str">
        <x:v>Provide pod CIDR and service CIDR for each cluster.</x:v>
      </x:c>
      <x:c r="C6" s="33" t="str">
        <x:v>Determines whether NSX sees/routes pod traffic and whether internal component rules are required at DFW.</x:v>
      </x:c>
      <x:c r="D6" s="33" t="str">
        <x:v>Platform + Network</x:v>
      </x:c>
      <x:c r="E6" s="33" t="str">
        <x:v>Document per-cluster CIDRs and routing/SNAT model.</x:v>
      </x:c>
      <x:c r="F6" s="32" t="str">
        <x:v>TBD-09–16</x:v>
      </x:c>
    </x:row>
    <x:row r="7">
      <x:c r="A7" s="33" t="str">
        <x:v>HIGH</x:v>
      </x:c>
      <x:c r="B7" s="33" t="str">
        <x:v>Confirm whether NSX DFW enforces pod CIDRs or only VM/node underlay.</x:v>
      </x:c>
      <x:c r="C7" s="33" t="str">
        <x:v>Changes implementation of Istio, CNPG, Kiali, DNS and internal service rules.</x:v>
      </x:c>
      <x:c r="D7" s="33" t="str">
        <x:v>NSX Engineering</x:v>
      </x:c>
      <x:c r="E7" s="33" t="str">
        <x:v>If overlay is opaque to DFW, implement node/VIP rules only and retain Internal Flows as reference.</x:v>
      </x:c>
      <x:c r="F7" s="32" t="str">
        <x:v>TBD-40</x:v>
      </x:c>
    </x:row>
    <x:row r="8">
      <x:c r="A8" s="33" t="str">
        <x:v>HIGH</x:v>
      </x:c>
      <x:c r="B8" s="33" t="str">
        <x:v>Resolve Harbor, GitLab, Grafana and Prometheus FQDNs to production addresses.</x:v>
      </x:c>
      <x:c r="C8" s="33" t="str">
        <x:v>Network objects/policy normally require approved destination addresses.</x:v>
      </x:c>
      <x:c r="D8" s="33" t="str">
        <x:v>DNS + Network</x:v>
      </x:c>
      <x:c r="E8" s="33" t="str">
        <x:v>Create address/FQDN groups consistent with NSX capability.</x:v>
      </x:c>
      <x:c r="F8" s="32" t="str">
        <x:v>TBD-31–34</x:v>
      </x:c>
    </x:row>
    <x:row r="9">
      <x:c r="A9" s="33" t="str">
        <x:v>HIGH</x:v>
      </x:c>
      <x:c r="B9" s="33" t="str">
        <x:v>Confirm approved user/admin source CIDRs.</x:v>
      </x:c>
      <x:c r="C9" s="33" t="str">
        <x:v>Package defaults ingress to 1.0.0.0/23; production user networks may differ.</x:v>
      </x:c>
      <x:c r="D9" s="33" t="str">
        <x:v>Security + Network</x:v>
      </x:c>
      <x:c r="E9" s="33" t="str">
        <x:v>Replace SEG1-TRUSTED-USERS with explicit approved client/admin groups.</x:v>
      </x:c>
      <x:c r="F9" s="32" t="str">
        <x:v>TBD-27–30</x:v>
      </x:c>
    </x:row>
    <x:row r="10">
      <x:c r="A10" s="33" t="str">
        <x:v>MEDIUM</x:v>
      </x:c>
      <x:c r="B10" s="33" t="str">
        <x:v>Confirm whether any workloads require NodePort exposure.</x:v>
      </x:c>
      <x:c r="C10" s="33" t="str">
        <x:v>Opening TCP/UDP 30000-32767 broadly is unnecessary if services use ingress/LoadBalancer.</x:v>
      </x:c>
      <x:c r="D10" s="33" t="str">
        <x:v>Platform</x:v>
      </x:c>
      <x:c r="E10" s="33" t="str">
        <x:v>Keep RKE2-09 disabled unless a workload owner documents need.</x:v>
      </x:c>
      <x:c r="F10" s="32" t="str">
        <x:v>TBD-43</x:v>
      </x:c>
    </x:row>
    <x:row r="11">
      <x:c r="A11" s="33" t="str">
        <x:v>MEDIUM</x:v>
      </x:c>
      <x:c r="B11" s="33" t="str">
        <x:v>Confirm Longhorn RWX and backing-image features in production.</x:v>
      </x:c>
      <x:c r="C11" s="33" t="str">
        <x:v>Additional Longhorn ports are conditional.</x:v>
      </x:c>
      <x:c r="D11" s="33" t="str">
        <x:v>Storage/Platform</x:v>
      </x:c>
      <x:c r="E11" s="33" t="str">
        <x:v>Enable LH-05/06/07 only for features actually used.</x:v>
      </x:c>
      <x:c r="F11" s="32" t="str">
        <x:v>TBD-44</x:v>
      </x:c>
    </x:row>
    <x:row r="12">
      <x:c r="A12" s="33" t="str">
        <x:v>HIGH</x:v>
      </x:c>
      <x:c r="B12" s="33" t="str">
        <x:v>Identify external Keycloak LDAP/LDAPS/Kerberos/AD/PKI dependencies.</x:v>
      </x:c>
      <x:c r="C12" s="33" t="str">
        <x:v>Package includes identity runtime assets but does not define directory/KDC endpoints or ports.</x:v>
      </x:c>
      <x:c r="D12" s="33" t="str">
        <x:v>Identity/ICAM</x:v>
      </x:c>
      <x:c r="E12" s="33" t="str">
        <x:v>Do not guess/open 88/389/636/etc.; add explicit rules after endpoints are supplied.</x:v>
      </x:c>
      <x:c r="F12" s="32" t="str">
        <x:v>TBD-41</x:v>
      </x:c>
    </x:row>
    <x:row r="13">
      <x:c r="A13" s="33" t="str">
        <x:v>MEDIUM</x:v>
      </x:c>
      <x:c r="B13" s="33" t="str">
        <x:v>Confirm CRL/OCSP or other runtime PKI endpoints, if required.</x:v>
      </x:c>
      <x:c r="C13" s="33" t="str">
        <x:v>Package has static CA material but no runtime certificate-validation network dependencies.</x:v>
      </x:c>
      <x:c r="D13" s="33" t="str">
        <x:v>PKI/Security</x:v>
      </x:c>
      <x:c r="E13" s="33" t="str">
        <x:v>Add only verified PKI egress endpoints.</x:v>
      </x:c>
      <x:c r="F13" s="32" t="str">
        <x:v>TBD-42</x:v>
      </x:c>
    </x:row>
    <x:row r="14">
      <x:c r="A14" s="33" t="str">
        <x:v>MEDIUM</x:v>
      </x:c>
      <x:c r="B14" s="33" t="str">
        <x:v>Confirm deployment controller/jump-host source IP/group.</x:v>
      </x:c>
      <x:c r="C14" s="33" t="str">
        <x:v>SSH/API/repository rules should be tightly source-restricted.</x:v>
      </x:c>
      <x:c r="D14" s="33" t="str">
        <x:v>Operations + Network</x:v>
      </x:c>
      <x:c r="E14" s="33" t="str">
        <x:v>Create DEPLOYMENT-CONTROLLER and ADMIN-JUMP objects.</x:v>
      </x:c>
      <x:c r="F14" s="32" t="str">
        <x:v>TBD-29–30</x:v>
      </x:c>
    </x:row>
    <x:row r="15">
      <x:c r="A15" s="33" t="str">
        <x:v>INFO</x:v>
      </x:c>
      <x:c r="B15" s="33" t="str">
        <x:v>Do not add BGP TCP/179 unless MetalLB design changes.</x:v>
      </x:c>
      <x:c r="C15" s="33" t="str">
        <x:v>Package uses Layer2Advertisement, not BGP.</x:v>
      </x:c>
      <x:c r="D15" s="33" t="str">
        <x:v>Network</x:v>
      </x:c>
      <x:c r="E15" s="33" t="str">
        <x:v>Retain Layer2 ARP/GARP behavior; review only if design changes.</x:v>
      </x:c>
      <x:c r="F15" s="32" t="str">
        <x:v>N/A</x:v>
      </x:c>
    </x:row>
  </x:sheetData>
  <x:conditionalFormatting sqref="A2:A15">
    <x:cfRule type="expression" dxfId="3" priority="1">
      <x:formula>A2="BLOCKER"</x:formula>
    </x:cfRule>
    <x:cfRule type="expression" dxfId="4" priority="2">
      <x:formula>A2="HIGH"</x:formula>
    </x:cfRule>
    <x:cfRule type="expression" dxfId="5" priority="3">
      <x:formula>A2="MEDIUM"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7a7184e66a4dd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8" hidden="0" customWidth="1"/>
    <x:col min="3" max="3" width="48" hidden="0" customWidth="1"/>
    <x:col min="4" max="4" width="55" hidden="0" customWidth="1"/>
  </x:cols>
  <x:sheetData>
    <x:row r="1" ht="34" customHeight="1">
      <x:c r="A1" s="38" t="str">
        <x:v>Source Type</x:v>
      </x:c>
      <x:c r="B1" s="38" t="str">
        <x:v>Source / URL</x:v>
      </x:c>
      <x:c r="C1" s="38" t="str">
        <x:v>Used For</x:v>
      </x:c>
      <x:c r="D1" s="38" t="str">
        <x:v>Notes</x:v>
      </x:c>
    </x:row>
    <x:row r="2">
      <x:c r="A2" s="33" t="str">
        <x:v>Uploaded package</x:v>
      </x:c>
      <x:c r="B2" s="33" t="str">
        <x:v>k8mm-seg1opdev-multicluster-v2.7.1/README.md</x:v>
      </x:c>
      <x:c r="C2" s="33" t="str">
        <x:v>Cluster role/VIP matrix, Rancher/GitLab/registry/identity naming</x:v>
      </x:c>
      <x:c r="D2" s="33" t="str">
        <x:v>Primary source.</x:v>
      </x:c>
    </x:row>
    <x:row r="3">
      <x:c r="A3" s="33" t="str">
        <x:v>Uploaded package</x:v>
      </x:c>
      <x:c r="B3" s="33" t="str">
        <x:v>k8mm-seg1opdev-multicluster-v2.7.1/docs/ARCHITECTURE-AND-DESIGN.md</x:v>
      </x:c>
      <x:c r="C3" s="33" t="str">
        <x:v>Topology, MetalLB pools/VIPs, DNS, identity/ingress architecture</x:v>
      </x:c>
      <x:c r="D3" s="33" t="str">
        <x:v>Contains warning that IPs are examples; validate production assignments.</x:v>
      </x:c>
    </x:row>
    <x:row r="4">
      <x:c r="A4" s="33" t="str">
        <x:v>Uploaded package</x:v>
      </x:c>
      <x:c r="B4" s="33" t="str">
        <x:v>k8mm-seg1opdev-multicluster-v2.7.1/docs/DEPLOYMENT-AND-CONFIGURATION.md</x:v>
      </x:c>
      <x:c r="C4" s="33" t="str">
        <x:v>SSH, NTP, deployment/admin prerequisites, ingress endpoints</x:v>
      </x:c>
      <x:c r="D4" s="33" t="str">
        <x:v>Primary source.</x:v>
      </x:c>
    </x:row>
    <x:row r="5">
      <x:c r="A5" s="33" t="str">
        <x:v>Uploaded package</x:v>
      </x:c>
      <x:c r="B5" s="33" t="str">
        <x:v>k8mm-seg1opdev-multicluster-v2.7.1/docs/OPERATIONS-AND-LIFECYCLE.md</x:v>
      </x:c>
      <x:c r="C5" s="33" t="str">
        <x:v>Identity failover operational paths</x:v>
      </x:c>
      <x:c r="D5" s="33" t="str">
        <x:v>Primary source.</x:v>
      </x:c>
    </x:row>
    <x:row r="6">
      <x:c r="A6" s="33" t="str">
        <x:v>Uploaded package</x:v>
      </x:c>
      <x:c r="B6" s="33" t="str">
        <x:v>k8mm-seg1opdev-multicluster-v2.7.1/docs/TROUBLESHOOTING-AND-SUPPORT.md</x:v>
      </x:c>
      <x:c r="C6" s="33" t="str">
        <x:v>Bidirectional PostgreSQL replication/firewall troubleshooting</x:v>
      </x:c>
      <x:c r="D6" s="33" t="str">
        <x:v>Primary source.</x:v>
      </x:c>
    </x:row>
    <x:row r="7">
      <x:c r="A7" s="33" t="str">
        <x:v>Uploaded package</x:v>
      </x:c>
      <x:c r="B7" s="33" t="str">
        <x:v>k8mm-seg1opdev-multicluster-v2.7.1/config/fleet-bootstrap.example.env</x:v>
      </x:c>
      <x:c r="C7" s="33" t="str">
        <x:v>DNS, NTP, Elastic Fleet, GitLab, Harbor, Keycloak variables/endpoints</x:v>
      </x:c>
      <x:c r="D7" s="33" t="str">
        <x:v>Primary source.</x:v>
      </x:c>
    </x:row>
    <x:row r="8">
      <x:c r="A8" s="33" t="str">
        <x:v>Uploaded package</x:v>
      </x:c>
      <x:c r="B8" s="33" t="str">
        <x:v>k8mm-seg1opdev-multicluster-v2.7.1/scripts/_lib/common.sh</x:v>
      </x:c>
      <x:c r="C8" s="33" t="str">
        <x:v>Ingress source CIDR and internal Envoy/backend port contracts</x:v>
      </x:c>
      <x:c r="D8" s="33" t="str">
        <x:v>Primary source.</x:v>
      </x:c>
    </x:row>
    <x:row r="9">
      <x:c r="A9" s="33" t="str">
        <x:v>Uploaded package</x:v>
      </x:c>
      <x:c r="B9" s="33" t="str">
        <x:v>k8mm-seg1opdev-multicluster-v2.7.1/fleet/bundles/63-eastwest-gateway/values.yaml</x:v>
      </x:c>
      <x:c r="C9" s="33" t="str">
        <x:v>Istio east-west ports 15443/15012/15017</x:v>
      </x:c>
      <x:c r="D9" s="33" t="str">
        <x:v>Primary source.</x:v>
      </x:c>
    </x:row>
    <x:row r="10">
      <x:c r="A10" s="33" t="str">
        <x:v>Uploaded package</x:v>
      </x:c>
      <x:c r="B10" s="33" t="str">
        <x:v>k8mm-seg1opdev-multicluster-v2.7.1/fleet/bundles/72-gitlab-runner/fleet.yaml + values.yaml</x:v>
      </x:c>
      <x:c r="C10" s="33" t="str">
        <x:v>Runner placement, GitLab URL, metrics port</x:v>
      </x:c>
      <x:c r="D10" s="33" t="str">
        <x:v>Primary source.</x:v>
      </x:c>
    </x:row>
    <x:row r="11">
      <x:c r="A11" s="33" t="str">
        <x:v>Uploaded package</x:v>
      </x:c>
      <x:c r="B11" s="33" t="str">
        <x:v>k8mm-seg1opdev-multicluster-v2.7.1/fleet/bundles/51-postgresql-* network policies</x:v>
      </x:c>
      <x:c r="C11" s="33" t="str">
        <x:v>CNPG API/control-plane endpoints and ports</x:v>
      </x:c>
      <x:c r="D11" s="33" t="str">
        <x:v>Primary source.</x:v>
      </x:c>
    </x:row>
    <x:row r="12">
      <x:c r="A12" s="33" t="str">
        <x:v>Vendor validation</x:v>
      </x:c>
      <x:c r="B12" s="33" t="str">
        <x:v>https://docs.rke2.io/install/requirements</x:v>
      </x:c>
      <x:c r="C12" s="33" t="str">
        <x:v>RKE2 control-plane, etcd, kubelet, Canal and NodePort baseline ports</x:v>
      </x:c>
      <x:c r="D12" s="33" t="str">
        <x:v>Standard runtime ports not fully enumerated by package.</x:v>
      </x:c>
    </x:row>
    <x:row r="13">
      <x:c r="A13" s="33" t="str">
        <x:v>Vendor validation</x:v>
      </x:c>
      <x:c r="B13" s="33" t="str">
        <x:v>https://docs.rke2.io/reference/server_config</x:v>
      </x:c>
      <x:c r="C13" s="33" t="str">
        <x:v>RKE2 default CNI context</x:v>
      </x:c>
      <x:c r="D13" s="33" t="str">
        <x:v>Package lacks authoritative host CNI config.</x:v>
      </x:c>
    </x:row>
    <x:row r="14">
      <x:c r="A14" s="33" t="str">
        <x:v>Vendor validation</x:v>
      </x:c>
      <x:c r="B14" s="33" t="str">
        <x:v>https://ranchermanager.docs.rancher.com/v2.13/getting-started/installation-and-upgrade/installation-requirements/port-requirements</x:v>
      </x:c>
      <x:c r="C14" s="33" t="str">
        <x:v>Rancher downstream agent HTTPS/WSS and management connectivity</x:v>
      </x:c>
      <x:c r="D14" s="33" t="str">
        <x:v>Baseline validation.</x:v>
      </x:c>
    </x:row>
    <x:row r="15">
      <x:c r="A15" s="33" t="str">
        <x:v>Vendor validation</x:v>
      </x:c>
      <x:c r="B15" s="33" t="str">
        <x:v>https://istio.io/latest/docs/setup/install/multicluster/multi-primary_multi-network/</x:v>
      </x:c>
      <x:c r="C15" s="33" t="str">
        <x:v>Istio multi-primary/multi-network east-west gateway context</x:v>
      </x:c>
      <x:c r="D15" s="33" t="str">
        <x:v>Package values remain authoritative for exposed ports.</x:v>
      </x:c>
    </x:row>
    <x:row r="16">
      <x:c r="A16" s="33" t="str">
        <x:v>Vendor validation</x:v>
      </x:c>
      <x:c r="B16" s="33" t="str">
        <x:v>https://longhorn.io/docs/1.12.1/references/networking/</x:v>
      </x:c>
      <x:c r="C16" s="33" t="str">
        <x:v>Longhorn networking ports</x:v>
      </x:c>
      <x:c r="D16" s="33" t="str">
        <x:v>Conditional/internal flows; package uses Longhorn 1.12.1 V1 data engine.</x:v>
      </x:c>
    </x:row>
    <x:row r="17">
      <x:c r="A17" s="33" t="str">
        <x:v>Vendor validation</x:v>
      </x:c>
      <x:c r="B17" s="33" t="str">
        <x:v>https://metallb.io/</x:v>
      </x:c>
      <x:c r="C17" s="33" t="str">
        <x:v>MetalLB memberlist TCP/UDP 7946</x:v>
      </x:c>
      <x:c r="D17" s="33" t="str">
        <x:v>Baseline validation.</x:v>
      </x:c>
    </x:row>
    <x:row r="18">
      <x:c r="A18" s="33" t="str">
        <x:v>Vendor validation</x:v>
      </x:c>
      <x:c r="B18" s="33" t="str">
        <x:v>https://metallb.io/concepts/layer2/</x:v>
      </x:c>
      <x:c r="C18" s="33" t="str">
        <x:v>MetalLB Layer2 ARP/NDP behavior</x:v>
      </x:c>
      <x:c r="D18" s="33" t="str">
        <x:v>Non-L4 Layer2 dependency.</x:v>
      </x:c>
    </x:row>
  </x:sheetData>
  <x:pageMargins left="0.7" right="0.7" top="0.75" bottom="0.75" header="0.3" footer="0.3"/>
  <x:tableParts count="1">
    <x:tablePart xmlns:r="http://schemas.openxmlformats.org/officeDocument/2006/relationships" r:id="R0c4110767700406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24" hidden="0" customWidth="1"/>
    <x:col min="4" max="4" width="18" hidden="0" customWidth="1"/>
    <x:col min="5" max="5" width="38" hidden="0" customWidth="1"/>
    <x:col min="6" max="6" width="36" hidden="0" customWidth="1"/>
    <x:col min="7" max="7" width="34" hidden="0" customWidth="1"/>
    <x:col min="8" max="8" width="22" hidden="0" customWidth="1"/>
    <x:col min="9" max="9" width="15" hidden="0" customWidth="1"/>
    <x:col min="10" max="10" width="12" hidden="0" customWidth="1"/>
    <x:col min="11" max="11" width="42" hidden="0" customWidth="1"/>
  </x:cols>
  <x:sheetData>
    <x:row r="1" ht="28" customHeight="1">
      <x:c r="A1" s="46" t="str">
        <x:v>SEG1OPDEV Production TBD / Network Handoff Input Register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2" customHeight="1">
      <x:c r="A2" s="50" t="str">
        <x:v>Complete the 'Confirmed Production Value' column and disposition all YES items before the NSX/PPSM handoff. Package IPs shown as examples must not be treated as authoritative production values until confirmed.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</x:row>
    <x:row r="4" ht="26.399999618530273" hidden="0" customHeight="1">
      <x:c r="A4" s="53" t="str">
        <x:v>TBD ID</x:v>
      </x:c>
      <x:c r="B4" s="53" t="str">
        <x:v>Priority</x:v>
      </x:c>
      <x:c r="C4" s="53" t="str">
        <x:v>Area / NSX Object</x:v>
      </x:c>
      <x:c r="D4" s="53" t="str">
        <x:v>Cluster / Site</x:v>
      </x:c>
      <x:c r="E4" s="53" t="str">
        <x:v>Production Value Required</x:v>
      </x:c>
      <x:c r="F4" s="53" t="str">
        <x:v>Package Value / Current Assumption</x:v>
      </x:c>
      <x:c r="G4" s="53" t="str">
        <x:v>Confirmed Production Value</x:v>
      </x:c>
      <x:c r="H4" s="53" t="str">
        <x:v>Owner / Input Needed</x:v>
      </x:c>
      <x:c r="I4" s="53" t="str">
        <x:v>Blocks NSX Handoff?</x:v>
      </x:c>
      <x:c r="J4" s="53" t="str">
        <x:v>Status</x:v>
      </x:c>
      <x:c r="K4" s="53" t="str">
        <x:v>Validation / Notes</x:v>
      </x:c>
    </x:row>
    <x:row r="5" ht="26.399999618530273" hidden="0" customHeight="1">
      <x:c r="A5" s="33" t="str">
        <x:v>TBD-01</x:v>
      </x:c>
      <x:c r="B5" s="33" t="str">
        <x:v>BLOCKER</x:v>
      </x:c>
      <x:c r="C5" s="33" t="str">
        <x:v>Cluster node inventory</x:v>
      </x:c>
      <x:c r="D5" s="33" t="str">
        <x:v>j64seg1opman</x:v>
      </x:c>
      <x:c r="E5" s="33" t="str">
        <x:v>Complete production node IPs and subnet(s); identify server/control-plane vs worker nodes.</x:v>
      </x:c>
      <x:c r="F5" s="33" t="str">
        <x:v>Not defined in package.</x:v>
      </x:c>
      <x:c r="G5" s="55" t="str"/>
      <x:c r="H5" s="33" t="str">
        <x:v>Platform + Network</x:v>
      </x:c>
      <x:c r="I5" s="33" t="str">
        <x:v>YES</x:v>
      </x:c>
      <x:c r="J5" s="33" t="str">
        <x:v>TBD</x:v>
      </x:c>
      <x:c r="K5" s="33" t="str">
        <x:v>Populate J64SEGMAN-NODES NSX group before enforcement.</x:v>
      </x:c>
    </x:row>
    <x:row r="6" ht="26.399999618530273" hidden="0" customHeight="1">
      <x:c r="A6" s="56" t="str">
        <x:v>TBD-02</x:v>
      </x:c>
      <x:c r="B6" s="56" t="str">
        <x:v>BLOCKER</x:v>
      </x:c>
      <x:c r="C6" s="56" t="str">
        <x:v>Cluster node inventory</x:v>
      </x:c>
      <x:c r="D6" s="56" t="str">
        <x:v>j64seg1opdev</x:v>
      </x:c>
      <x:c r="E6" s="56" t="str">
        <x:v>Complete production node IPs and subnet(s); identify server/control-plane vs worker nodes.</x:v>
      </x:c>
      <x:c r="F6" s="56" t="str">
        <x:v>Control-plane examples: 1.0.0.141-1.0.0.143</x:v>
      </x:c>
      <x:c r="G6" s="55" t="str"/>
      <x:c r="H6" s="56" t="str">
        <x:v>Platform + Network</x:v>
      </x:c>
      <x:c r="I6" s="56" t="str">
        <x:v>YES</x:v>
      </x:c>
      <x:c r="J6" s="56" t="str">
        <x:v>TBD</x:v>
      </x:c>
      <x:c r="K6" s="56" t="str">
        <x:v>Examples are referenced by CNPG policy; confirm all nodes, not only control-plane.</x:v>
      </x:c>
    </x:row>
    <x:row r="7" ht="26.399999618530273" hidden="0" customHeight="1">
      <x:c r="A7" s="33" t="str">
        <x:v>TBD-03</x:v>
      </x:c>
      <x:c r="B7" s="33" t="str">
        <x:v>BLOCKER</x:v>
      </x:c>
      <x:c r="C7" s="33" t="str">
        <x:v>Cluster node inventory</x:v>
      </x:c>
      <x:c r="D7" s="33" t="str">
        <x:v>j52seg1opdev</x:v>
      </x:c>
      <x:c r="E7" s="33" t="str">
        <x:v>Complete production node IPs and subnet(s); identify server/control-plane vs worker nodes.</x:v>
      </x:c>
      <x:c r="F7" s="33" t="str">
        <x:v>Control-plane examples: 1.0.0.161-1.0.0.163</x:v>
      </x:c>
      <x:c r="G7" s="55" t="str"/>
      <x:c r="H7" s="33" t="str">
        <x:v>Platform + Network</x:v>
      </x:c>
      <x:c r="I7" s="33" t="str">
        <x:v>YES</x:v>
      </x:c>
      <x:c r="J7" s="33" t="str">
        <x:v>TBD</x:v>
      </x:c>
      <x:c r="K7" s="33" t="str">
        <x:v>Examples are referenced by CNPG policy; confirm all nodes, not only control-plane.</x:v>
      </x:c>
    </x:row>
    <x:row r="8" ht="26.399999618530273" hidden="0" customHeight="1">
      <x:c r="A8" s="56" t="str">
        <x:v>TBD-04</x:v>
      </x:c>
      <x:c r="B8" s="56" t="str">
        <x:v>BLOCKER</x:v>
      </x:c>
      <x:c r="C8" s="56" t="str">
        <x:v>Cluster node inventory</x:v>
      </x:c>
      <x:c r="D8" s="56" t="str">
        <x:v>r01seg1opdev</x:v>
      </x:c>
      <x:c r="E8" s="56" t="str">
        <x:v>Complete production node IPs and subnet(s); identify server/control-plane vs worker nodes.</x:v>
      </x:c>
      <x:c r="F8" s="56" t="str">
        <x:v>Not defined in package.</x:v>
      </x:c>
      <x:c r="G8" s="55" t="str"/>
      <x:c r="H8" s="56" t="str">
        <x:v>Platform + Network</x:v>
      </x:c>
      <x:c r="I8" s="56" t="str">
        <x:v>YES</x:v>
      </x:c>
      <x:c r="J8" s="56" t="str">
        <x:v>TBD</x:v>
      </x:c>
      <x:c r="K8" s="56" t="str">
        <x:v>Populate R01SEGDEV-NODES NSX group before enforcement.</x:v>
      </x:c>
    </x:row>
    <x:row r="9" ht="26.399999618530273" hidden="0" customHeight="1">
      <x:c r="A9" s="33" t="str">
        <x:v>TBD-05</x:v>
      </x:c>
      <x:c r="B9" s="33" t="str">
        <x:v>BLOCKER</x:v>
      </x:c>
      <x:c r="C9" s="33" t="str">
        <x:v>Kubernetes API endpoint</x:v>
      </x:c>
      <x:c r="D9" s="33" t="str">
        <x:v>j64seg1opman</x:v>
      </x:c>
      <x:c r="E9" s="33" t="str">
        <x:v>Production Kubernetes API IP/VIP used for TCP/6443.</x:v>
      </x:c>
      <x:c r="F9" s="33" t="str">
        <x:v>Not defined in package.</x:v>
      </x:c>
      <x:c r="G9" s="55" t="str"/>
      <x:c r="H9" s="33" t="str">
        <x:v>Platform</x:v>
      </x:c>
      <x:c r="I9" s="33" t="str">
        <x:v>YES</x:v>
      </x:c>
      <x:c r="J9" s="33" t="str">
        <x:v>TBD</x:v>
      </x:c>
      <x:c r="K9" s="33" t="str">
        <x:v>Create per-cluster member of K8S-API-ENDPOINTS.</x:v>
      </x:c>
    </x:row>
    <x:row r="10" ht="26.399999618530273" hidden="0" customHeight="1">
      <x:c r="A10" s="56" t="str">
        <x:v>TBD-06</x:v>
      </x:c>
      <x:c r="B10" s="56" t="str">
        <x:v>BLOCKER</x:v>
      </x:c>
      <x:c r="C10" s="56" t="str">
        <x:v>Kubernetes API endpoint</x:v>
      </x:c>
      <x:c r="D10" s="56" t="str">
        <x:v>j64seg1opdev</x:v>
      </x:c>
      <x:c r="E10" s="56" t="str">
        <x:v>Production Kubernetes API IP/VIP used for TCP/6443.</x:v>
      </x:c>
      <x:c r="F10" s="56" t="str">
        <x:v>Not defined in package.</x:v>
      </x:c>
      <x:c r="G10" s="55" t="str"/>
      <x:c r="H10" s="56" t="str">
        <x:v>Platform</x:v>
      </x:c>
      <x:c r="I10" s="56" t="str">
        <x:v>YES</x:v>
      </x:c>
      <x:c r="J10" s="56" t="str">
        <x:v>TBD</x:v>
      </x:c>
      <x:c r="K10" s="56" t="str">
        <x:v>Create per-cluster member of K8S-API-ENDPOINTS.</x:v>
      </x:c>
    </x:row>
    <x:row r="11" ht="26.399999618530273" hidden="0" customHeight="1">
      <x:c r="A11" s="33" t="str">
        <x:v>TBD-07</x:v>
      </x:c>
      <x:c r="B11" s="33" t="str">
        <x:v>BLOCKER</x:v>
      </x:c>
      <x:c r="C11" s="33" t="str">
        <x:v>Kubernetes API endpoint</x:v>
      </x:c>
      <x:c r="D11" s="33" t="str">
        <x:v>j52seg1opdev</x:v>
      </x:c>
      <x:c r="E11" s="33" t="str">
        <x:v>Production Kubernetes API IP/VIP used for TCP/6443.</x:v>
      </x:c>
      <x:c r="F11" s="33" t="str">
        <x:v>Not defined in package.</x:v>
      </x:c>
      <x:c r="G11" s="55" t="str"/>
      <x:c r="H11" s="33" t="str">
        <x:v>Platform</x:v>
      </x:c>
      <x:c r="I11" s="33" t="str">
        <x:v>YES</x:v>
      </x:c>
      <x:c r="J11" s="33" t="str">
        <x:v>TBD</x:v>
      </x:c>
      <x:c r="K11" s="33" t="str">
        <x:v>Create per-cluster member of K8S-API-ENDPOINTS.</x:v>
      </x:c>
    </x:row>
    <x:row r="12" ht="26.399999618530273" hidden="0" customHeight="1">
      <x:c r="A12" s="56" t="str">
        <x:v>TBD-08</x:v>
      </x:c>
      <x:c r="B12" s="56" t="str">
        <x:v>BLOCKER</x:v>
      </x:c>
      <x:c r="C12" s="56" t="str">
        <x:v>Kubernetes API endpoint</x:v>
      </x:c>
      <x:c r="D12" s="56" t="str">
        <x:v>r01seg1opdev</x:v>
      </x:c>
      <x:c r="E12" s="56" t="str">
        <x:v>Production Kubernetes API IP/VIP used for TCP/6443.</x:v>
      </x:c>
      <x:c r="F12" s="56" t="str">
        <x:v>Not defined in package.</x:v>
      </x:c>
      <x:c r="G12" s="55" t="str"/>
      <x:c r="H12" s="56" t="str">
        <x:v>Platform</x:v>
      </x:c>
      <x:c r="I12" s="56" t="str">
        <x:v>YES</x:v>
      </x:c>
      <x:c r="J12" s="56" t="str">
        <x:v>TBD</x:v>
      </x:c>
      <x:c r="K12" s="56" t="str">
        <x:v>Create per-cluster member of K8S-API-ENDPOINTS.</x:v>
      </x:c>
    </x:row>
    <x:row r="13" ht="26.399999618530273" hidden="0" customHeight="1">
      <x:c r="A13" s="33" t="str">
        <x:v>TBD-09</x:v>
      </x:c>
      <x:c r="B13" s="33" t="str">
        <x:v>BLOCKER</x:v>
      </x:c>
      <x:c r="C13" s="33" t="str">
        <x:v>Pod CIDR</x:v>
      </x:c>
      <x:c r="D13" s="33" t="str">
        <x:v>j64seg1opman</x:v>
      </x:c>
      <x:c r="E13" s="33" t="str">
        <x:v>Production pod CIDR(s).</x:v>
      </x:c>
      <x:c r="F13" s="33" t="str">
        <x:v>Not defined in package.</x:v>
      </x:c>
      <x:c r="G13" s="55" t="str"/>
      <x:c r="H13" s="33" t="str">
        <x:v>Platform + Network</x:v>
      </x:c>
      <x:c r="I13" s="33" t="str">
        <x:v>YES</x:v>
      </x:c>
      <x:c r="J13" s="33" t="str">
        <x:v>TBD</x:v>
      </x:c>
      <x:c r="K13" s="33" t="str">
        <x:v>Needed to determine DFW visibility/routing and whether pod-level rules are enforceable.</x:v>
      </x:c>
    </x:row>
    <x:row r="14" ht="26.399999618530273" hidden="0" customHeight="1">
      <x:c r="A14" s="56" t="str">
        <x:v>TBD-10</x:v>
      </x:c>
      <x:c r="B14" s="56" t="str">
        <x:v>BLOCKER</x:v>
      </x:c>
      <x:c r="C14" s="56" t="str">
        <x:v>Pod CIDR</x:v>
      </x:c>
      <x:c r="D14" s="56" t="str">
        <x:v>j64seg1opdev</x:v>
      </x:c>
      <x:c r="E14" s="56" t="str">
        <x:v>Production pod CIDR(s).</x:v>
      </x:c>
      <x:c r="F14" s="56" t="str">
        <x:v>Not defined in package.</x:v>
      </x:c>
      <x:c r="G14" s="55" t="str"/>
      <x:c r="H14" s="56" t="str">
        <x:v>Platform + Network</x:v>
      </x:c>
      <x:c r="I14" s="56" t="str">
        <x:v>YES</x:v>
      </x:c>
      <x:c r="J14" s="56" t="str">
        <x:v>TBD</x:v>
      </x:c>
      <x:c r="K14" s="56" t="str">
        <x:v>Needed to determine DFW visibility/routing and whether pod-level rules are enforceable.</x:v>
      </x:c>
    </x:row>
    <x:row r="15" ht="26.399999618530273" hidden="0" customHeight="1">
      <x:c r="A15" s="33" t="str">
        <x:v>TBD-11</x:v>
      </x:c>
      <x:c r="B15" s="33" t="str">
        <x:v>BLOCKER</x:v>
      </x:c>
      <x:c r="C15" s="33" t="str">
        <x:v>Pod CIDR</x:v>
      </x:c>
      <x:c r="D15" s="33" t="str">
        <x:v>j52seg1opdev</x:v>
      </x:c>
      <x:c r="E15" s="33" t="str">
        <x:v>Production pod CIDR(s).</x:v>
      </x:c>
      <x:c r="F15" s="33" t="str">
        <x:v>Not defined in package.</x:v>
      </x:c>
      <x:c r="G15" s="55" t="str"/>
      <x:c r="H15" s="33" t="str">
        <x:v>Platform + Network</x:v>
      </x:c>
      <x:c r="I15" s="33" t="str">
        <x:v>YES</x:v>
      </x:c>
      <x:c r="J15" s="33" t="str">
        <x:v>TBD</x:v>
      </x:c>
      <x:c r="K15" s="33" t="str">
        <x:v>Needed to determine DFW visibility/routing and whether pod-level rules are enforceable.</x:v>
      </x:c>
    </x:row>
    <x:row r="16" ht="26.399999618530273" hidden="0" customHeight="1">
      <x:c r="A16" s="56" t="str">
        <x:v>TBD-12</x:v>
      </x:c>
      <x:c r="B16" s="56" t="str">
        <x:v>BLOCKER</x:v>
      </x:c>
      <x:c r="C16" s="56" t="str">
        <x:v>Pod CIDR</x:v>
      </x:c>
      <x:c r="D16" s="56" t="str">
        <x:v>r01seg1opdev</x:v>
      </x:c>
      <x:c r="E16" s="56" t="str">
        <x:v>Production pod CIDR(s).</x:v>
      </x:c>
      <x:c r="F16" s="56" t="str">
        <x:v>Not defined in package.</x:v>
      </x:c>
      <x:c r="G16" s="55" t="str"/>
      <x:c r="H16" s="56" t="str">
        <x:v>Platform + Network</x:v>
      </x:c>
      <x:c r="I16" s="56" t="str">
        <x:v>YES</x:v>
      </x:c>
      <x:c r="J16" s="56" t="str">
        <x:v>TBD</x:v>
      </x:c>
      <x:c r="K16" s="56" t="str">
        <x:v>Needed to determine DFW visibility/routing and whether pod-level rules are enforceable.</x:v>
      </x:c>
    </x:row>
    <x:row r="17" ht="26.399999618530273" hidden="0" customHeight="1">
      <x:c r="A17" s="33" t="str">
        <x:v>TBD-13</x:v>
      </x:c>
      <x:c r="B17" s="33" t="str">
        <x:v>BLOCKER</x:v>
      </x:c>
      <x:c r="C17" s="33" t="str">
        <x:v>Service CIDR</x:v>
      </x:c>
      <x:c r="D17" s="33" t="str">
        <x:v>j64seg1opman</x:v>
      </x:c>
      <x:c r="E17" s="33" t="str">
        <x:v>Production Kubernetes service CIDR.</x:v>
      </x:c>
      <x:c r="F17" s="33" t="str">
        <x:v>Not defined in package.</x:v>
      </x:c>
      <x:c r="G17" s="55" t="str"/>
      <x:c r="H17" s="33" t="str">
        <x:v>Platform + Network</x:v>
      </x:c>
      <x:c r="I17" s="33" t="str">
        <x:v>YES</x:v>
      </x:c>
      <x:c r="J17" s="33" t="str">
        <x:v>TBD</x:v>
      </x:c>
      <x:c r="K17" s="33" t="str">
        <x:v>Document even if service CIDR is not directly routable by NSX.</x:v>
      </x:c>
    </x:row>
    <x:row r="18" ht="26.399999618530273" hidden="0" customHeight="1">
      <x:c r="A18" s="56" t="str">
        <x:v>TBD-14</x:v>
      </x:c>
      <x:c r="B18" s="56" t="str">
        <x:v>BLOCKER</x:v>
      </x:c>
      <x:c r="C18" s="56" t="str">
        <x:v>Service CIDR</x:v>
      </x:c>
      <x:c r="D18" s="56" t="str">
        <x:v>j64seg1opdev</x:v>
      </x:c>
      <x:c r="E18" s="56" t="str">
        <x:v>Production Kubernetes service CIDR.</x:v>
      </x:c>
      <x:c r="F18" s="56" t="str">
        <x:v>Not defined in package.</x:v>
      </x:c>
      <x:c r="G18" s="55" t="str"/>
      <x:c r="H18" s="56" t="str">
        <x:v>Platform + Network</x:v>
      </x:c>
      <x:c r="I18" s="56" t="str">
        <x:v>YES</x:v>
      </x:c>
      <x:c r="J18" s="56" t="str">
        <x:v>TBD</x:v>
      </x:c>
      <x:c r="K18" s="56" t="str">
        <x:v>Document even if service CIDR is not directly routable by NSX.</x:v>
      </x:c>
    </x:row>
    <x:row r="19" ht="26.399999618530273" hidden="0" customHeight="1">
      <x:c r="A19" s="33" t="str">
        <x:v>TBD-15</x:v>
      </x:c>
      <x:c r="B19" s="33" t="str">
        <x:v>BLOCKER</x:v>
      </x:c>
      <x:c r="C19" s="33" t="str">
        <x:v>Service CIDR</x:v>
      </x:c>
      <x:c r="D19" s="33" t="str">
        <x:v>j52seg1opdev</x:v>
      </x:c>
      <x:c r="E19" s="33" t="str">
        <x:v>Production Kubernetes service CIDR.</x:v>
      </x:c>
      <x:c r="F19" s="33" t="str">
        <x:v>Not defined in package.</x:v>
      </x:c>
      <x:c r="G19" s="55" t="str"/>
      <x:c r="H19" s="33" t="str">
        <x:v>Platform + Network</x:v>
      </x:c>
      <x:c r="I19" s="33" t="str">
        <x:v>YES</x:v>
      </x:c>
      <x:c r="J19" s="33" t="str">
        <x:v>TBD</x:v>
      </x:c>
      <x:c r="K19" s="33" t="str">
        <x:v>Document even if service CIDR is not directly routable by NSX.</x:v>
      </x:c>
    </x:row>
    <x:row r="20" ht="26.399999618530273" hidden="0" customHeight="1">
      <x:c r="A20" s="56" t="str">
        <x:v>TBD-16</x:v>
      </x:c>
      <x:c r="B20" s="56" t="str">
        <x:v>BLOCKER</x:v>
      </x:c>
      <x:c r="C20" s="56" t="str">
        <x:v>Service CIDR</x:v>
      </x:c>
      <x:c r="D20" s="56" t="str">
        <x:v>r01seg1opdev</x:v>
      </x:c>
      <x:c r="E20" s="56" t="str">
        <x:v>Production Kubernetes service CIDR.</x:v>
      </x:c>
      <x:c r="F20" s="56" t="str">
        <x:v>Not defined in package.</x:v>
      </x:c>
      <x:c r="G20" s="55" t="str"/>
      <x:c r="H20" s="56" t="str">
        <x:v>Platform + Network</x:v>
      </x:c>
      <x:c r="I20" s="56" t="str">
        <x:v>YES</x:v>
      </x:c>
      <x:c r="J20" s="56" t="str">
        <x:v>TBD</x:v>
      </x:c>
      <x:c r="K20" s="56" t="str">
        <x:v>Document even if service CIDR is not directly routable by NSX.</x:v>
      </x:c>
    </x:row>
    <x:row r="21" ht="26.399999618530273" hidden="0" customHeight="1">
      <x:c r="A21" s="33" t="str">
        <x:v>TBD-17</x:v>
      </x:c>
      <x:c r="B21" s="33" t="str">
        <x:v>BLOCKER</x:v>
      </x:c>
      <x:c r="C21" s="33" t="str">
        <x:v>Ingress VIP</x:v>
      </x:c>
      <x:c r="D21" s="33" t="str">
        <x:v>j64seg1opman</x:v>
      </x:c>
      <x:c r="E21" s="33" t="str">
        <x:v>Confirm final production ingress VIP.</x:v>
      </x:c>
      <x:c r="F21" s="33" t="str">
        <x:v>Package example: 1.0.0.205</x:v>
      </x:c>
      <x:c r="G21" s="55" t="str"/>
      <x:c r="H21" s="33" t="str">
        <x:v>Platform + Network</x:v>
      </x:c>
      <x:c r="I21" s="33" t="str">
        <x:v>YES</x:v>
      </x:c>
      <x:c r="J21" s="33" t="str">
        <x:v>TBD</x:v>
      </x:c>
      <x:c r="K21" s="33" t="str">
        <x:v>Used by Rancher, Longhorn and Kiali management ingress.</x:v>
      </x:c>
    </x:row>
    <x:row r="22" ht="15" hidden="0" customHeight="1">
      <x:c r="A22" s="56" t="str">
        <x:v>TBD-18</x:v>
      </x:c>
      <x:c r="B22" s="56" t="str">
        <x:v>BLOCKER</x:v>
      </x:c>
      <x:c r="C22" s="56" t="str">
        <x:v>Ingress VIP</x:v>
      </x:c>
      <x:c r="D22" s="56" t="str">
        <x:v>j64seg1opdev</x:v>
      </x:c>
      <x:c r="E22" s="56" t="str">
        <x:v>Confirm final production ingress VIP.</x:v>
      </x:c>
      <x:c r="F22" s="56" t="str">
        <x:v>Package example: 1.0.0.215</x:v>
      </x:c>
      <x:c r="G22" s="55" t="str"/>
      <x:c r="H22" s="56" t="str">
        <x:v>Platform + Network</x:v>
      </x:c>
      <x:c r="I22" s="56" t="str">
        <x:v>YES</x:v>
      </x:c>
      <x:c r="J22" s="56" t="str">
        <x:v>TBD</x:v>
      </x:c>
      <x:c r="K22" s="56" t="str">
        <x:v>Also a possible Keycloak canonical endpoint target.</x:v>
      </x:c>
    </x:row>
    <x:row r="23" ht="15" hidden="0" customHeight="1">
      <x:c r="A23" s="33" t="str">
        <x:v>TBD-19</x:v>
      </x:c>
      <x:c r="B23" s="33" t="str">
        <x:v>BLOCKER</x:v>
      </x:c>
      <x:c r="C23" s="33" t="str">
        <x:v>Ingress VIP</x:v>
      </x:c>
      <x:c r="D23" s="33" t="str">
        <x:v>j52seg1opdev</x:v>
      </x:c>
      <x:c r="E23" s="33" t="str">
        <x:v>Confirm final production ingress VIP.</x:v>
      </x:c>
      <x:c r="F23" s="33" t="str">
        <x:v>Package example: 1.0.0.225</x:v>
      </x:c>
      <x:c r="G23" s="55" t="str"/>
      <x:c r="H23" s="33" t="str">
        <x:v>Platform + Network</x:v>
      </x:c>
      <x:c r="I23" s="33" t="str">
        <x:v>YES</x:v>
      </x:c>
      <x:c r="J23" s="33" t="str">
        <x:v>TBD</x:v>
      </x:c>
      <x:c r="K23" s="33" t="str">
        <x:v>Also a possible Keycloak canonical endpoint target.</x:v>
      </x:c>
    </x:row>
    <x:row r="24" ht="15" hidden="0" customHeight="1">
      <x:c r="A24" s="56" t="str">
        <x:v>TBD-20</x:v>
      </x:c>
      <x:c r="B24" s="56" t="str">
        <x:v>BLOCKER</x:v>
      </x:c>
      <x:c r="C24" s="56" t="str">
        <x:v>Ingress VIP</x:v>
      </x:c>
      <x:c r="D24" s="56" t="str">
        <x:v>r01seg1opdev</x:v>
      </x:c>
      <x:c r="E24" s="56" t="str">
        <x:v>Confirm final production ingress VIP.</x:v>
      </x:c>
      <x:c r="F24" s="56" t="str">
        <x:v>Package example: 1.0.0.235</x:v>
      </x:c>
      <x:c r="G24" s="55" t="str"/>
      <x:c r="H24" s="56" t="str">
        <x:v>Platform + Network</x:v>
      </x:c>
      <x:c r="I24" s="56" t="str">
        <x:v>YES</x:v>
      </x:c>
      <x:c r="J24" s="56" t="str">
        <x:v>TBD</x:v>
      </x:c>
      <x:c r="K24" s="56" t="str">
        <x:v>Application/admin ingress.</x:v>
      </x:c>
    </x:row>
    <x:row r="25" ht="15" hidden="0" customHeight="1">
      <x:c r="A25" s="33" t="str">
        <x:v>TBD-21</x:v>
      </x:c>
      <x:c r="B25" s="33" t="str">
        <x:v>BLOCKER</x:v>
      </x:c>
      <x:c r="C25" s="33" t="str">
        <x:v>Istio east-west VIP</x:v>
      </x:c>
      <x:c r="D25" s="33" t="str">
        <x:v>j64seg1opman</x:v>
      </x:c>
      <x:c r="E25" s="33" t="str">
        <x:v>Confirm final east-west gateway VIP.</x:v>
      </x:c>
      <x:c r="F25" s="33" t="str">
        <x:v>Package example: 1.0.0.210</x:v>
      </x:c>
      <x:c r="G25" s="55" t="str"/>
      <x:c r="H25" s="33" t="str">
        <x:v>Platform + Network</x:v>
      </x:c>
      <x:c r="I25" s="33" t="str">
        <x:v>YES</x:v>
      </x:c>
      <x:c r="J25" s="33" t="str">
        <x:v>TBD</x:v>
      </x:c>
      <x:c r="K25" s="33" t="str">
        <x:v>TCP 15443, 15012, 15017.</x:v>
      </x:c>
    </x:row>
    <x:row r="26" ht="15" hidden="0" customHeight="1">
      <x:c r="A26" s="56" t="str">
        <x:v>TBD-22</x:v>
      </x:c>
      <x:c r="B26" s="56" t="str">
        <x:v>BLOCKER</x:v>
      </x:c>
      <x:c r="C26" s="56" t="str">
        <x:v>Istio east-west VIP</x:v>
      </x:c>
      <x:c r="D26" s="56" t="str">
        <x:v>j64seg1opdev</x:v>
      </x:c>
      <x:c r="E26" s="56" t="str">
        <x:v>Confirm final east-west gateway VIP.</x:v>
      </x:c>
      <x:c r="F26" s="56" t="str">
        <x:v>Package example: 1.0.0.220</x:v>
      </x:c>
      <x:c r="G26" s="55" t="str"/>
      <x:c r="H26" s="56" t="str">
        <x:v>Platform + Network</x:v>
      </x:c>
      <x:c r="I26" s="56" t="str">
        <x:v>YES</x:v>
      </x:c>
      <x:c r="J26" s="56" t="str">
        <x:v>TBD</x:v>
      </x:c>
      <x:c r="K26" s="56" t="str">
        <x:v>TCP 15443, 15012, 15017.</x:v>
      </x:c>
    </x:row>
    <x:row r="27" ht="15" hidden="0" customHeight="1">
      <x:c r="A27" s="33" t="str">
        <x:v>TBD-23</x:v>
      </x:c>
      <x:c r="B27" s="33" t="str">
        <x:v>BLOCKER</x:v>
      </x:c>
      <x:c r="C27" s="33" t="str">
        <x:v>Istio east-west VIP</x:v>
      </x:c>
      <x:c r="D27" s="33" t="str">
        <x:v>j52seg1opdev</x:v>
      </x:c>
      <x:c r="E27" s="33" t="str">
        <x:v>Confirm final east-west gateway VIP.</x:v>
      </x:c>
      <x:c r="F27" s="33" t="str">
        <x:v>Package example: 1.0.0.230</x:v>
      </x:c>
      <x:c r="G27" s="55" t="str"/>
      <x:c r="H27" s="33" t="str">
        <x:v>Platform + Network</x:v>
      </x:c>
      <x:c r="I27" s="33" t="str">
        <x:v>YES</x:v>
      </x:c>
      <x:c r="J27" s="33" t="str">
        <x:v>TBD</x:v>
      </x:c>
      <x:c r="K27" s="33" t="str">
        <x:v>TCP 15443, 15012, 15017.</x:v>
      </x:c>
    </x:row>
    <x:row r="28" ht="15" hidden="0" customHeight="1">
      <x:c r="A28" s="56" t="str">
        <x:v>TBD-24</x:v>
      </x:c>
      <x:c r="B28" s="56" t="str">
        <x:v>BLOCKER</x:v>
      </x:c>
      <x:c r="C28" s="56" t="str">
        <x:v>Istio east-west VIP</x:v>
      </x:c>
      <x:c r="D28" s="56" t="str">
        <x:v>r01seg1opdev</x:v>
      </x:c>
      <x:c r="E28" s="56" t="str">
        <x:v>Confirm final east-west gateway VIP.</x:v>
      </x:c>
      <x:c r="F28" s="56" t="str">
        <x:v>Package example: 1.0.0.240</x:v>
      </x:c>
      <x:c r="G28" s="55" t="str"/>
      <x:c r="H28" s="56" t="str">
        <x:v>Platform + Network</x:v>
      </x:c>
      <x:c r="I28" s="56" t="str">
        <x:v>YES</x:v>
      </x:c>
      <x:c r="J28" s="56" t="str">
        <x:v>TBD</x:v>
      </x:c>
      <x:c r="K28" s="56" t="str">
        <x:v>TCP 15443, 15012, 15017.</x:v>
      </x:c>
    </x:row>
    <x:row r="29" ht="26.399999618530273" hidden="0" customHeight="1">
      <x:c r="A29" s="33" t="str">
        <x:v>TBD-25</x:v>
      </x:c>
      <x:c r="B29" s="33" t="str">
        <x:v>BLOCKER</x:v>
      </x:c>
      <x:c r="C29" s="33" t="str">
        <x:v>PostgreSQL replication VIP/FQDN</x:v>
      </x:c>
      <x:c r="D29" s="33" t="str">
        <x:v>j64seg1opdev</x:v>
      </x:c>
      <x:c r="E29" s="33" t="str">
        <x:v>Confirm final replication VIP and FQDN.</x:v>
      </x:c>
      <x:c r="F29" s="33" t="str">
        <x:v>Package example: 1.0.0.216 / j64seg1opdev-postgres-repl.dev.kube</x:v>
      </x:c>
      <x:c r="G29" s="55" t="str"/>
      <x:c r="H29" s="33" t="str">
        <x:v>Platform + DNS + Network</x:v>
      </x:c>
      <x:c r="I29" s="33" t="str">
        <x:v>YES</x:v>
      </x:c>
      <x:c r="J29" s="33" t="str">
        <x:v>TBD</x:v>
      </x:c>
      <x:c r="K29" s="33" t="str">
        <x:v>TCP/5432; required for failback/reverse replication.</x:v>
      </x:c>
    </x:row>
    <x:row r="30" ht="26.399999618530273" hidden="0" customHeight="1">
      <x:c r="A30" s="56" t="str">
        <x:v>TBD-26</x:v>
      </x:c>
      <x:c r="B30" s="56" t="str">
        <x:v>BLOCKER</x:v>
      </x:c>
      <x:c r="C30" s="56" t="str">
        <x:v>PostgreSQL replication VIP/FQDN</x:v>
      </x:c>
      <x:c r="D30" s="56" t="str">
        <x:v>j52seg1opdev</x:v>
      </x:c>
      <x:c r="E30" s="56" t="str">
        <x:v>Confirm final replication VIP and FQDN.</x:v>
      </x:c>
      <x:c r="F30" s="56" t="str">
        <x:v>Package example: 1.0.0.226 / j52seg1opdev-postgres-repl.dev.kube</x:v>
      </x:c>
      <x:c r="G30" s="55" t="str"/>
      <x:c r="H30" s="56" t="str">
        <x:v>Platform + DNS + Network</x:v>
      </x:c>
      <x:c r="I30" s="56" t="str">
        <x:v>YES</x:v>
      </x:c>
      <x:c r="J30" s="56" t="str">
        <x:v>TBD</x:v>
      </x:c>
      <x:c r="K30" s="56" t="str">
        <x:v>TCP/5432; required for normal remote replication.</x:v>
      </x:c>
    </x:row>
    <x:row r="31" ht="26.399999618530273" hidden="0" customHeight="1">
      <x:c r="A31" s="33" t="str">
        <x:v>TBD-27</x:v>
      </x:c>
      <x:c r="B31" s="33" t="str">
        <x:v>BLOCKER</x:v>
      </x:c>
      <x:c r="C31" s="33" t="str">
        <x:v>Trusted admin source networks</x:v>
      </x:c>
      <x:c r="D31" s="33" t="str">
        <x:v>Segment1 / Admin</x:v>
      </x:c>
      <x:c r="E31" s="33" t="str">
        <x:v>Approved admin CIDR(s) for Rancher, Kiali, Longhorn, SSH and Kubernetes API access.</x:v>
      </x:c>
      <x:c r="F31" s="33" t="str">
        <x:v>Package default: 1.0.0.0/23</x:v>
      </x:c>
      <x:c r="G31" s="55" t="str"/>
      <x:c r="H31" s="33" t="str">
        <x:v>Security + Network</x:v>
      </x:c>
      <x:c r="I31" s="33" t="str">
        <x:v>YES</x:v>
      </x:c>
      <x:c r="J31" s="33" t="str">
        <x:v>TBD</x:v>
      </x:c>
      <x:c r="K31" s="33" t="str">
        <x:v>Do not use the package default as production policy without approval.</x:v>
      </x:c>
    </x:row>
    <x:row r="32" ht="26.399999618530273" hidden="0" customHeight="1">
      <x:c r="A32" s="56" t="str">
        <x:v>TBD-28</x:v>
      </x:c>
      <x:c r="B32" s="56" t="str">
        <x:v>BLOCKER</x:v>
      </x:c>
      <x:c r="C32" s="56" t="str">
        <x:v>Keycloak/user application client networks</x:v>
      </x:c>
      <x:c r="D32" s="56" t="str">
        <x:v>Segment1 / Clients</x:v>
      </x:c>
      <x:c r="E32" s="56" t="str">
        <x:v>Approved client/application source CIDR(s) that require HTTPS access to Keycloak ingress.</x:v>
      </x:c>
      <x:c r="F32" s="56" t="str">
        <x:v>Not explicitly defined in package.</x:v>
      </x:c>
      <x:c r="G32" s="55" t="str"/>
      <x:c r="H32" s="56" t="str">
        <x:v>Security + Identity + Network</x:v>
      </x:c>
      <x:c r="I32" s="56" t="str">
        <x:v>YES</x:v>
      </x:c>
      <x:c r="J32" s="56" t="str">
        <x:v>TBD</x:v>
      </x:c>
      <x:c r="K32" s="56" t="str">
        <x:v>May differ from admin networks; use separate object if practical.</x:v>
      </x:c>
    </x:row>
    <x:row r="33" ht="26.399999618530273" hidden="0" customHeight="1">
      <x:c r="A33" s="33" t="str">
        <x:v>TBD-29</x:v>
      </x:c>
      <x:c r="B33" s="33" t="str">
        <x:v>HIGH</x:v>
      </x:c>
      <x:c r="C33" s="33" t="str">
        <x:v>Admin jump hosts</x:v>
      </x:c>
      <x:c r="D33" s="33" t="str">
        <x:v>Admin zone</x:v>
      </x:c>
      <x:c r="E33" s="33" t="str">
        <x:v>Production jump-host IP(s)/CIDR(s).</x:v>
      </x:c>
      <x:c r="F33" s="33" t="str">
        <x:v>Not defined in package.</x:v>
      </x:c>
      <x:c r="G33" s="55" t="str"/>
      <x:c r="H33" s="33" t="str">
        <x:v>Operations + Network</x:v>
      </x:c>
      <x:c r="I33" s="33" t="str">
        <x:v>YES</x:v>
      </x:c>
      <x:c r="J33" s="33" t="str">
        <x:v>TBD</x:v>
      </x:c>
      <x:c r="K33" s="33" t="str">
        <x:v>Create ADMIN-JUMP object; scope SSH/API/admin UI access tightly.</x:v>
      </x:c>
    </x:row>
    <x:row r="34" ht="26.399999618530273" hidden="0" customHeight="1">
      <x:c r="A34" s="56" t="str">
        <x:v>TBD-30</x:v>
      </x:c>
      <x:c r="B34" s="56" t="str">
        <x:v>HIGH</x:v>
      </x:c>
      <x:c r="C34" s="56" t="str">
        <x:v>Deployment controller</x:v>
      </x:c>
      <x:c r="D34" s="56" t="str">
        <x:v>Admin zone</x:v>
      </x:c>
      <x:c r="E34" s="56" t="str">
        <x:v>Production automation/deployment source IP(s)/CIDR(s).</x:v>
      </x:c>
      <x:c r="F34" s="56" t="str">
        <x:v>Not defined in package.</x:v>
      </x:c>
      <x:c r="G34" s="55" t="str"/>
      <x:c r="H34" s="56" t="str">
        <x:v>Operations + Network</x:v>
      </x:c>
      <x:c r="I34" s="56" t="str">
        <x:v>YES</x:v>
      </x:c>
      <x:c r="J34" s="56" t="str">
        <x:v>TBD</x:v>
      </x:c>
      <x:c r="K34" s="56" t="str">
        <x:v>Create DEPLOYMENT-CONTROLLER object.</x:v>
      </x:c>
    </x:row>
    <x:row r="35" ht="26.399999618530273" hidden="0" customHeight="1">
      <x:c r="A35" s="33" t="str">
        <x:v>TBD-31</x:v>
      </x:c>
      <x:c r="B35" s="33" t="str">
        <x:v>HIGH</x:v>
      </x:c>
      <x:c r="C35" s="33" t="str">
        <x:v>Harbor registry</x:v>
      </x:c>
      <x:c r="D35" s="33" t="str">
        <x:v>Shared infrastructure</x:v>
      </x:c>
      <x:c r="E35" s="33" t="str">
        <x:v>Production IP(s) for kubeharbor.dev.kube and confirm FQDN.</x:v>
      </x:c>
      <x:c r="F35" s="33" t="str">
        <x:v>FQDN only: kubeharbor.dev.kube</x:v>
      </x:c>
      <x:c r="G35" s="55" t="str"/>
      <x:c r="H35" s="33" t="str">
        <x:v>DNS + Network</x:v>
      </x:c>
      <x:c r="I35" s="33" t="str">
        <x:v>YES</x:v>
      </x:c>
      <x:c r="J35" s="33" t="str">
        <x:v>TBD</x:v>
      </x:c>
      <x:c r="K35" s="33" t="str">
        <x:v>Required for image/OCI Helm access from nodes and automation.</x:v>
      </x:c>
    </x:row>
    <x:row r="36" ht="26.399999618530273" hidden="0" customHeight="1">
      <x:c r="A36" s="56" t="str">
        <x:v>TBD-32</x:v>
      </x:c>
      <x:c r="B36" s="56" t="str">
        <x:v>HIGH</x:v>
      </x:c>
      <x:c r="C36" s="56" t="str">
        <x:v>GitLab</x:v>
      </x:c>
      <x:c r="D36" s="56" t="str">
        <x:v>Shared infrastructure</x:v>
      </x:c>
      <x:c r="E36" s="56" t="str">
        <x:v>Production IP(s) for gitlab001.dev.local and confirm FQDN.</x:v>
      </x:c>
      <x:c r="F36" s="56" t="str">
        <x:v>FQDN only: gitlab001.dev.local</x:v>
      </x:c>
      <x:c r="G36" s="55" t="str"/>
      <x:c r="H36" s="56" t="str">
        <x:v>DNS + Network</x:v>
      </x:c>
      <x:c r="I36" s="56" t="str">
        <x:v>YES</x:v>
      </x:c>
      <x:c r="J36" s="56" t="str">
        <x:v>TBD</x:v>
      </x:c>
      <x:c r="K36" s="56" t="str">
        <x:v>Used by Fleet/GitLab Runner/repository workflows.</x:v>
      </x:c>
    </x:row>
    <x:row r="37" ht="26.399999618530273" hidden="0" customHeight="1">
      <x:c r="A37" s="33" t="str">
        <x:v>TBD-33</x:v>
      </x:c>
      <x:c r="B37" s="33" t="str">
        <x:v>HIGH</x:v>
      </x:c>
      <x:c r="C37" s="33" t="str">
        <x:v>Prometheus</x:v>
      </x:c>
      <x:c r="D37" s="33" t="str">
        <x:v>j64seg1opman</x:v>
      </x:c>
      <x:c r="E37" s="33" t="str">
        <x:v>Production IP/VIP for j64seg1opman-prometheus.dev.kube.</x:v>
      </x:c>
      <x:c r="F37" s="33" t="str">
        <x:v>FQDN only: j64seg1opman-prometheus.dev.kube</x:v>
      </x:c>
      <x:c r="G37" s="55" t="str"/>
      <x:c r="H37" s="33" t="str">
        <x:v>DNS + Platform</x:v>
      </x:c>
      <x:c r="I37" s="33" t="str">
        <x:v>YES</x:v>
      </x:c>
      <x:c r="J37" s="33" t="str">
        <x:v>TBD</x:v>
      </x:c>
      <x:c r="K37" s="33" t="str">
        <x:v>Kiali external Prometheus datasource.</x:v>
      </x:c>
    </x:row>
    <x:row r="38" ht="15" hidden="0" customHeight="1">
      <x:c r="A38" s="56" t="str">
        <x:v>TBD-34</x:v>
      </x:c>
      <x:c r="B38" s="56" t="str">
        <x:v>HIGH</x:v>
      </x:c>
      <x:c r="C38" s="56" t="str">
        <x:v>Grafana</x:v>
      </x:c>
      <x:c r="D38" s="56" t="str">
        <x:v>j64seg1opman</x:v>
      </x:c>
      <x:c r="E38" s="56" t="str">
        <x:v>Production IP/VIP for grafana.dev.kube.</x:v>
      </x:c>
      <x:c r="F38" s="56" t="str">
        <x:v>FQDN only: grafana.dev.kube</x:v>
      </x:c>
      <x:c r="G38" s="55" t="str"/>
      <x:c r="H38" s="56" t="str">
        <x:v>DNS + Platform</x:v>
      </x:c>
      <x:c r="I38" s="56" t="str">
        <x:v>YES</x:v>
      </x:c>
      <x:c r="J38" s="56" t="str">
        <x:v>TBD</x:v>
      </x:c>
      <x:c r="K38" s="56" t="str">
        <x:v>Kiali Grafana integration.</x:v>
      </x:c>
    </x:row>
    <x:row r="39" ht="26.399999618530273" hidden="0" customHeight="1">
      <x:c r="A39" s="33" t="str">
        <x:v>TBD-35</x:v>
      </x:c>
      <x:c r="B39" s="33" t="str">
        <x:v>HIGH</x:v>
      </x:c>
      <x:c r="C39" s="33" t="str">
        <x:v>Primary DNS</x:v>
      </x:c>
      <x:c r="D39" s="33" t="str">
        <x:v>Shared infrastructure</x:v>
      </x:c>
      <x:c r="E39" s="33" t="str">
        <x:v>Confirm production DNS servers.</x:v>
      </x:c>
      <x:c r="F39" s="33" t="str">
        <x:v>Package values: 1.0.1.30, 1.0.1.31</x:v>
      </x:c>
      <x:c r="G39" s="55" t="str"/>
      <x:c r="H39" s="33" t="str">
        <x:v>DNS + Network</x:v>
      </x:c>
      <x:c r="I39" s="33" t="str">
        <x:v>YES</x:v>
      </x:c>
      <x:c r="J39" s="33" t="str">
        <x:v>TBD</x:v>
      </x:c>
      <x:c r="K39" s="33" t="str">
        <x:v>Confirm these are production and reachable from all required nodes/pods.</x:v>
      </x:c>
    </x:row>
    <x:row r="40" ht="15" hidden="0" customHeight="1">
      <x:c r="A40" s="56" t="str">
        <x:v>TBD-36</x:v>
      </x:c>
      <x:c r="B40" s="56" t="str">
        <x:v>HIGH</x:v>
      </x:c>
      <x:c r="C40" s="56" t="str">
        <x:v>JCP DNS forwarders</x:v>
      </x:c>
      <x:c r="D40" s="56" t="str">
        <x:v>Shared infrastructure</x:v>
      </x:c>
      <x:c r="E40" s="56" t="str">
        <x:v>Confirm production JCP DNS forwarders.</x:v>
      </x:c>
      <x:c r="F40" s="56" t="str">
        <x:v>Package values: 10.22.1.34, 10.22.1.35</x:v>
      </x:c>
      <x:c r="G40" s="55" t="str"/>
      <x:c r="H40" s="56" t="str">
        <x:v>DNS + Network</x:v>
      </x:c>
      <x:c r="I40" s="56" t="str">
        <x:v>YES</x:v>
      </x:c>
      <x:c r="J40" s="56" t="str">
        <x:v>TBD</x:v>
      </x:c>
      <x:c r="K40" s="56" t="str">
        <x:v>Confirm these remain required in production.</x:v>
      </x:c>
    </x:row>
    <x:row r="41" ht="26.399999618530273" hidden="0" customHeight="1">
      <x:c r="A41" s="33" t="str">
        <x:v>TBD-37</x:v>
      </x:c>
      <x:c r="B41" s="33" t="str">
        <x:v>HIGH</x:v>
      </x:c>
      <x:c r="C41" s="33" t="str">
        <x:v>NTP</x:v>
      </x:c>
      <x:c r="D41" s="33" t="str">
        <x:v>Shared infrastructure</x:v>
      </x:c>
      <x:c r="E41" s="33" t="str">
        <x:v>Confirm production NTP server(s).</x:v>
      </x:c>
      <x:c r="F41" s="33" t="str">
        <x:v>Package value: 1.0.1.34</x:v>
      </x:c>
      <x:c r="G41" s="55" t="str"/>
      <x:c r="H41" s="33" t="str">
        <x:v>Platform + Network</x:v>
      </x:c>
      <x:c r="I41" s="33" t="str">
        <x:v>YES</x:v>
      </x:c>
      <x:c r="J41" s="33" t="str">
        <x:v>TBD</x:v>
      </x:c>
      <x:c r="K41" s="33" t="str">
        <x:v>Time synchronization is foundational for TLS, identity and cluster health.</x:v>
      </x:c>
    </x:row>
    <x:row r="42" ht="26.399999618530273" hidden="0" customHeight="1">
      <x:c r="A42" s="56" t="str">
        <x:v>TBD-38</x:v>
      </x:c>
      <x:c r="B42" s="56" t="str">
        <x:v>HIGH</x:v>
      </x:c>
      <x:c r="C42" s="56" t="str">
        <x:v>Elastic Fleet</x:v>
      </x:c>
      <x:c r="D42" s="56" t="str">
        <x:v>Shared infrastructure</x:v>
      </x:c>
      <x:c r="E42" s="56" t="str">
        <x:v>Confirm production Fleet Server IP/FQDN and port.</x:v>
      </x:c>
      <x:c r="F42" s="56" t="str">
        <x:v>Package value: 1.0.0.30:8220</x:v>
      </x:c>
      <x:c r="G42" s="55" t="str"/>
      <x:c r="H42" s="56" t="str">
        <x:v>Elastic + Network</x:v>
      </x:c>
      <x:c r="I42" s="56" t="str">
        <x:v>YES</x:v>
      </x:c>
      <x:c r="J42" s="56" t="str">
        <x:v>TBD</x:v>
      </x:c>
      <x:c r="K42" s="56" t="str">
        <x:v>Confirm address and trust path.</x:v>
      </x:c>
    </x:row>
    <x:row r="43" ht="26.399999618530273" hidden="0" customHeight="1">
      <x:c r="A43" s="33" t="str">
        <x:v>TBD-39</x:v>
      </x:c>
      <x:c r="B43" s="33" t="str">
        <x:v>HIGH</x:v>
      </x:c>
      <x:c r="C43" s="33" t="str">
        <x:v>RKE2 CNI / encapsulation</x:v>
      </x:c>
      <x:c r="D43" s="33" t="str">
        <x:v>All clusters</x:v>
      </x:c>
      <x:c r="E43" s="33" t="str">
        <x:v>Confirm production CNI and encapsulation mode.</x:v>
      </x:c>
      <x:c r="F43" s="33" t="str">
        <x:v>Package/network matrix assumes Canal/Flannel baseline.</x:v>
      </x:c>
      <x:c r="G43" s="55" t="str"/>
      <x:c r="H43" s="33" t="str">
        <x:v>Platform</x:v>
      </x:c>
      <x:c r="I43" s="33" t="str">
        <x:v>YES</x:v>
      </x:c>
      <x:c r="J43" s="33" t="str">
        <x:v>TBD</x:v>
      </x:c>
      <x:c r="K43" s="33" t="str">
        <x:v>If not Canal/Flannel, reassess UDP/8472 and TCP/9099 requirements.</x:v>
      </x:c>
    </x:row>
    <x:row r="44" ht="26.399999618530273" hidden="0" customHeight="1">
      <x:c r="A44" s="56" t="str">
        <x:v>TBD-40</x:v>
      </x:c>
      <x:c r="B44" s="56" t="str">
        <x:v>HIGH</x:v>
      </x:c>
      <x:c r="C44" s="56" t="str">
        <x:v>NSX DFW pod visibility / SNAT</x:v>
      </x:c>
      <x:c r="D44" s="56" t="str">
        <x:v>All clusters</x:v>
      </x:c>
      <x:c r="E44" s="56" t="str">
        <x:v>Confirm whether NSX sees pod CIDRs, node-SNATed traffic, or only VM/node underlay.</x:v>
      </x:c>
      <x:c r="F44" s="56" t="str">
        <x:v>Not established by package.</x:v>
      </x:c>
      <x:c r="G44" s="55" t="str"/>
      <x:c r="H44" s="56" t="str">
        <x:v>NSX Engineering</x:v>
      </x:c>
      <x:c r="I44" s="56" t="str">
        <x:v>YES</x:v>
      </x:c>
      <x:c r="J44" s="56" t="str">
        <x:v>TBD</x:v>
      </x:c>
      <x:c r="K44" s="56" t="str">
        <x:v>Determines whether Internal Flows become enforceable DFW rules or documentation only.</x:v>
      </x:c>
    </x:row>
    <x:row r="45" ht="26.399999618530273" hidden="0" customHeight="1">
      <x:c r="A45" s="33" t="str">
        <x:v>TBD-41</x:v>
      </x:c>
      <x:c r="B45" s="33" t="str">
        <x:v>HIGH</x:v>
      </x:c>
      <x:c r="C45" s="33" t="str">
        <x:v>External Keycloak identity dependencies</x:v>
      </x:c>
      <x:c r="D45" s="33" t="str">
        <x:v>Identity</x:v>
      </x:c>
      <x:c r="E45" s="33" t="str">
        <x:v>If used, provide AD/LDAP/LDAPS/Kerberos/IdP endpoint IPs/FQDNs and required ports.</x:v>
      </x:c>
      <x:c r="F45" s="33" t="str">
        <x:v>Not defined in package.</x:v>
      </x:c>
      <x:c r="G45" s="55" t="str"/>
      <x:c r="H45" s="33" t="str">
        <x:v>Identity/ICAM</x:v>
      </x:c>
      <x:c r="I45" s="33" t="str">
        <x:v>CONDITIONAL</x:v>
      </x:c>
      <x:c r="J45" s="33" t="str">
        <x:v>TBD</x:v>
      </x:c>
      <x:c r="K45" s="33" t="str">
        <x:v>Do not pre-open 88/389/636 or other identity ports without confirmed endpoints.</x:v>
      </x:c>
    </x:row>
    <x:row r="46" ht="26.399999618530273" hidden="0" customHeight="1">
      <x:c r="A46" s="56" t="str">
        <x:v>TBD-42</x:v>
      </x:c>
      <x:c r="B46" s="56" t="str">
        <x:v>MEDIUM</x:v>
      </x:c>
      <x:c r="C46" s="56" t="str">
        <x:v>Runtime PKI dependencies</x:v>
      </x:c>
      <x:c r="D46" s="56" t="str">
        <x:v>Shared security services</x:v>
      </x:c>
      <x:c r="E46" s="56" t="str">
        <x:v>If used, provide CRL/OCSP/AIA/CA/HSM endpoint IPs/FQDNs and ports.</x:v>
      </x:c>
      <x:c r="F46" s="56" t="str">
        <x:v>Not defined in package.</x:v>
      </x:c>
      <x:c r="G46" s="55" t="str"/>
      <x:c r="H46" s="56" t="str">
        <x:v>PKI + Security</x:v>
      </x:c>
      <x:c r="I46" s="56" t="str">
        <x:v>CONDITIONAL</x:v>
      </x:c>
      <x:c r="J46" s="56" t="str">
        <x:v>TBD</x:v>
      </x:c>
      <x:c r="K46" s="56" t="str">
        <x:v>Only add verified runtime PKI egress.</x:v>
      </x:c>
    </x:row>
    <x:row r="47" ht="26.399999618530273" hidden="0" customHeight="1">
      <x:c r="A47" s="33" t="str">
        <x:v>TBD-43</x:v>
      </x:c>
      <x:c r="B47" s="33" t="str">
        <x:v>MEDIUM</x:v>
      </x:c>
      <x:c r="C47" s="33" t="str">
        <x:v>NodePort exposure</x:v>
      </x:c>
      <x:c r="D47" s="33" t="str">
        <x:v>All clusters</x:v>
      </x:c>
      <x:c r="E47" s="33" t="str">
        <x:v>Confirm whether any production workload requires TCP/UDP 30000-32767.</x:v>
      </x:c>
      <x:c r="F47" s="33" t="str">
        <x:v>No confirmed requirement.</x:v>
      </x:c>
      <x:c r="G47" s="55" t="str"/>
      <x:c r="H47" s="33" t="str">
        <x:v>Platform + App Owners</x:v>
      </x:c>
      <x:c r="I47" s="33" t="str">
        <x:v>CONDITIONAL</x:v>
      </x:c>
      <x:c r="J47" s="33" t="str">
        <x:v>TBD</x:v>
      </x:c>
      <x:c r="K47" s="33" t="str">
        <x:v>Recommended disposition: keep closed unless explicitly required.</x:v>
      </x:c>
    </x:row>
    <x:row r="48" ht="26.399999618530273" hidden="0" customHeight="1">
      <x:c r="A48" s="56" t="str">
        <x:v>TBD-44</x:v>
      </x:c>
      <x:c r="B48" s="56" t="str">
        <x:v>MEDIUM</x:v>
      </x:c>
      <x:c r="C48" s="56" t="str">
        <x:v>Longhorn optional networking</x:v>
      </x:c>
      <x:c r="D48" s="56" t="str">
        <x:v>All clusters</x:v>
      </x:c>
      <x:c r="E48" s="56" t="str">
        <x:v>Confirm whether RWX volumes and/or backing-image features are enabled.</x:v>
      </x:c>
      <x:c r="F48" s="56" t="str">
        <x:v>Not confirmed.</x:v>
      </x:c>
      <x:c r="G48" s="55" t="str"/>
      <x:c r="H48" s="56" t="str">
        <x:v>Storage + Platform</x:v>
      </x:c>
      <x:c r="I48" s="56" t="str">
        <x:v>CONDITIONAL</x:v>
      </x:c>
      <x:c r="J48" s="56" t="str">
        <x:v>TBD</x:v>
      </x:c>
      <x:c r="K48" s="56" t="str">
        <x:v>Additional Longhorn flows should only be enabled when the feature is used.</x:v>
      </x:c>
    </x:row>
  </x:sheetData>
  <x:mergeCells>
    <x:mergeCell ref="A1:K1"/>
    <x:mergeCell ref="A2:K2"/>
  </x:mergeCells>
  <x:conditionalFormatting sqref="B5:B48">
    <x:cfRule type="expression" dxfId="6" priority="1">
      <x:formula>B5="BLOCKER"</x:formula>
    </x:cfRule>
    <x:cfRule type="expression" dxfId="7" priority="2">
      <x:formula>B5="HIGH"</x:formula>
    </x:cfRule>
    <x:cfRule type="expression" dxfId="8" priority="3">
      <x:formula>B5="MEDIUM"</x:formula>
    </x:cfRule>
  </x:conditionalFormatting>
  <x:conditionalFormatting sqref="I5:I48">
    <x:cfRule type="expression" dxfId="9" priority="4">
      <x:formula>I5="YES"</x:formula>
    </x:cfRule>
  </x:conditionalFormatting>
  <x:conditionalFormatting sqref="J5:J48">
    <x:cfRule type="expression" dxfId="10" priority="5">
      <x:formula>J5="TBD"</x:formula>
    </x:cfRule>
    <x:cfRule type="expression" dxfId="11" priority="6">
      <x:formula>J5="CONFIRMED"</x:formula>
    </x:cfRule>
  </x:conditionalFormatting>
  <x:dataValidations count="1">
    <x:dataValidation type="list" sqref="J5:J48">
      <x:formula1>"TBD,CONFIRMED,N/A"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d104250bb5486f"/>
  </x:tableParts>
</x:worksheet>
</file>